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workspace\EtradeTradeReader\data\"/>
    </mc:Choice>
  </mc:AlternateContent>
  <xr:revisionPtr revIDLastSave="0" documentId="13_ncr:1_{7175E1BF-AC60-4C06-A535-149D3EED3C8D}" xr6:coauthVersionLast="47" xr6:coauthVersionMax="47" xr10:uidLastSave="{00000000-0000-0000-0000-000000000000}"/>
  <bookViews>
    <workbookView xWindow="-103" yWindow="-103" windowWidth="24892" windowHeight="15634" activeTab="1" xr2:uid="{A3E995E9-8DA6-4881-A4E2-EC9BDFEF4EDF}"/>
  </bookViews>
  <sheets>
    <sheet name="portfolio_trades" sheetId="1" r:id="rId1"/>
    <sheet name="Sheet2" sheetId="3" r:id="rId2"/>
  </sheets>
  <definedNames>
    <definedName name="_xlcn.WorksheetConnection_portfolio_trades.xlsmTable11" hidden="1">Table1[]</definedName>
  </definedNames>
  <calcPr calcId="191029"/>
  <pivotCaches>
    <pivotCache cacheId="13" r:id="rId3"/>
  </pivotCaches>
  <extLst>
    <ext xmlns:x15="http://schemas.microsoft.com/office/spreadsheetml/2010/11/main" uri="{FCE2AD5D-F65C-4FA6-A056-5C36A1767C68}">
      <x15:dataModel>
        <x15:modelTables>
          <x15:modelTable id="Table1" name="Table1" connection="WorksheetConnection_portfolio_trades.xlsm!Table1"/>
        </x15:modelTables>
        <x15:extLst>
          <ext xmlns:x16="http://schemas.microsoft.com/office/spreadsheetml/2014/11/main" uri="{9835A34E-60A6-4A7C-AAB8-D5F71C897F49}">
            <x16:modelTimeGroupings>
              <x16:modelTimeGrouping tableName="Table1" columnName="CloseDate" columnId="CloseDate">
                <x16:calculatedTimeColumn columnName="CloseDate (Year)" columnId="CloseDate (Year)" contentType="years" isSelected="1"/>
                <x16:calculatedTimeColumn columnName="CloseDate (Quarter)" columnId="CloseDate (Quarter)" contentType="quarters" isSelected="1"/>
                <x16:calculatedTimeColumn columnName="CloseDate (Month Index)" columnId="CloseDate (Month Index)" contentType="monthsindex" isSelected="1"/>
                <x16:calculatedTimeColumn columnName="CloseDate (Month)" columnId="Close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5" i="1" l="1"/>
  <c r="H364" i="1" s="1"/>
  <c r="H363" i="1" s="1"/>
  <c r="H362" i="1" s="1"/>
  <c r="H361" i="1" s="1"/>
  <c r="H360" i="1" s="1"/>
  <c r="H359" i="1" s="1"/>
  <c r="H358" i="1" s="1"/>
  <c r="H357" i="1" s="1"/>
  <c r="H356" i="1" s="1"/>
  <c r="H355" i="1" s="1"/>
  <c r="H354" i="1" s="1"/>
  <c r="H353" i="1" s="1"/>
  <c r="H352" i="1" s="1"/>
  <c r="H351" i="1" s="1"/>
  <c r="H350" i="1" s="1"/>
  <c r="H349" i="1" s="1"/>
  <c r="H348" i="1" s="1"/>
  <c r="H347" i="1" s="1"/>
  <c r="H346" i="1" s="1"/>
  <c r="H345" i="1" s="1"/>
  <c r="H344" i="1" s="1"/>
  <c r="H343" i="1" s="1"/>
  <c r="H342" i="1" s="1"/>
  <c r="H341" i="1" s="1"/>
  <c r="H340" i="1" s="1"/>
  <c r="H339" i="1" s="1"/>
  <c r="H338" i="1" s="1"/>
  <c r="H337" i="1" s="1"/>
  <c r="H336" i="1" s="1"/>
  <c r="H335" i="1" s="1"/>
  <c r="H334" i="1" s="1"/>
  <c r="H333" i="1" s="1"/>
  <c r="H332" i="1" s="1"/>
  <c r="H331" i="1" s="1"/>
  <c r="H330" i="1" s="1"/>
  <c r="H329" i="1" s="1"/>
  <c r="H328" i="1" s="1"/>
  <c r="H327" i="1" s="1"/>
  <c r="H326" i="1" s="1"/>
  <c r="H325" i="1" s="1"/>
  <c r="H324" i="1" s="1"/>
  <c r="H323" i="1" s="1"/>
  <c r="H322" i="1" s="1"/>
  <c r="H321" i="1" s="1"/>
  <c r="H320" i="1" s="1"/>
  <c r="H319" i="1" s="1"/>
  <c r="H318" i="1" s="1"/>
  <c r="H317" i="1" s="1"/>
  <c r="H316" i="1" s="1"/>
  <c r="H315" i="1" s="1"/>
  <c r="H314" i="1" s="1"/>
  <c r="H313" i="1" s="1"/>
  <c r="H312" i="1" s="1"/>
  <c r="H311" i="1" s="1"/>
  <c r="H310" i="1" s="1"/>
  <c r="H309" i="1" s="1"/>
  <c r="H308" i="1" s="1"/>
  <c r="H307" i="1" s="1"/>
  <c r="H306" i="1" s="1"/>
  <c r="H305" i="1" s="1"/>
  <c r="H304" i="1" s="1"/>
  <c r="H303" i="1" s="1"/>
  <c r="H302" i="1" s="1"/>
  <c r="H301" i="1" s="1"/>
  <c r="H300" i="1" s="1"/>
  <c r="H299" i="1" s="1"/>
  <c r="H298" i="1" s="1"/>
  <c r="H297" i="1" s="1"/>
  <c r="H296" i="1" s="1"/>
  <c r="H295" i="1" s="1"/>
  <c r="H294" i="1" s="1"/>
  <c r="H293" i="1" s="1"/>
  <c r="H292" i="1" s="1"/>
  <c r="H291" i="1" s="1"/>
  <c r="H290" i="1" s="1"/>
  <c r="H289" i="1" s="1"/>
  <c r="H288" i="1" s="1"/>
  <c r="H287" i="1" s="1"/>
  <c r="H286" i="1" s="1"/>
  <c r="H285" i="1" s="1"/>
  <c r="H284" i="1" s="1"/>
  <c r="H283" i="1" s="1"/>
  <c r="H282" i="1" s="1"/>
  <c r="H281" i="1" s="1"/>
  <c r="H280" i="1" s="1"/>
  <c r="H279" i="1" s="1"/>
  <c r="H278" i="1" s="1"/>
  <c r="H277" i="1" s="1"/>
  <c r="H276" i="1" s="1"/>
  <c r="H275" i="1" s="1"/>
  <c r="H274" i="1" s="1"/>
  <c r="H273" i="1" s="1"/>
  <c r="H272" i="1" s="1"/>
  <c r="H271" i="1" s="1"/>
  <c r="H270" i="1" s="1"/>
  <c r="H269" i="1" s="1"/>
  <c r="H268" i="1" s="1"/>
  <c r="H267" i="1" s="1"/>
  <c r="H266" i="1" s="1"/>
  <c r="H265" i="1" s="1"/>
  <c r="H264" i="1" s="1"/>
  <c r="H263" i="1" s="1"/>
  <c r="H262" i="1" s="1"/>
  <c r="H261" i="1" s="1"/>
  <c r="H260" i="1" s="1"/>
  <c r="H259" i="1" s="1"/>
  <c r="H258" i="1" s="1"/>
  <c r="H257" i="1" s="1"/>
  <c r="H256" i="1" s="1"/>
  <c r="H255" i="1" s="1"/>
  <c r="H254" i="1" s="1"/>
  <c r="H253" i="1" s="1"/>
  <c r="H252" i="1" s="1"/>
  <c r="H251" i="1" s="1"/>
  <c r="H250" i="1" s="1"/>
  <c r="H249" i="1" s="1"/>
  <c r="H248" i="1" s="1"/>
  <c r="H247" i="1" s="1"/>
  <c r="H246" i="1" s="1"/>
  <c r="H245" i="1" s="1"/>
  <c r="H244" i="1" s="1"/>
  <c r="H243" i="1" s="1"/>
  <c r="H242" i="1" s="1"/>
  <c r="H241" i="1" s="1"/>
  <c r="H240" i="1" s="1"/>
  <c r="H239" i="1" s="1"/>
  <c r="H238" i="1" s="1"/>
  <c r="H237" i="1" s="1"/>
  <c r="H236" i="1" s="1"/>
  <c r="H235" i="1" s="1"/>
  <c r="H234" i="1" s="1"/>
  <c r="H233" i="1" s="1"/>
  <c r="H232" i="1" s="1"/>
  <c r="H231" i="1" s="1"/>
  <c r="H230" i="1" s="1"/>
  <c r="H229" i="1" s="1"/>
  <c r="H228" i="1" s="1"/>
  <c r="H227" i="1" s="1"/>
  <c r="H226" i="1" s="1"/>
  <c r="H225" i="1" s="1"/>
  <c r="H224" i="1" s="1"/>
  <c r="H223" i="1" s="1"/>
  <c r="H222" i="1" s="1"/>
  <c r="H221" i="1" s="1"/>
  <c r="H220" i="1" s="1"/>
  <c r="H219" i="1" s="1"/>
  <c r="H218" i="1" s="1"/>
  <c r="H217" i="1" s="1"/>
  <c r="H216" i="1" s="1"/>
  <c r="H215" i="1" s="1"/>
  <c r="H214" i="1" s="1"/>
  <c r="H213" i="1" s="1"/>
  <c r="H212" i="1" s="1"/>
  <c r="H211" i="1" s="1"/>
  <c r="H210" i="1" s="1"/>
  <c r="H209" i="1" s="1"/>
  <c r="H208" i="1" s="1"/>
  <c r="H207" i="1" s="1"/>
  <c r="H206" i="1" s="1"/>
  <c r="H205" i="1" s="1"/>
  <c r="H204" i="1" s="1"/>
  <c r="H203" i="1" s="1"/>
  <c r="H202" i="1" s="1"/>
  <c r="H201" i="1" s="1"/>
  <c r="H200" i="1" s="1"/>
  <c r="H199" i="1" s="1"/>
  <c r="H198" i="1" s="1"/>
  <c r="H197" i="1" s="1"/>
  <c r="H196" i="1" s="1"/>
  <c r="H195" i="1" s="1"/>
  <c r="H194" i="1" s="1"/>
  <c r="H193" i="1" s="1"/>
  <c r="H192" i="1" s="1"/>
  <c r="H191" i="1" s="1"/>
  <c r="H190" i="1" s="1"/>
  <c r="H189" i="1" s="1"/>
  <c r="H188" i="1" s="1"/>
  <c r="H187" i="1" s="1"/>
  <c r="H186" i="1" s="1"/>
  <c r="H185" i="1" s="1"/>
  <c r="H184" i="1" s="1"/>
  <c r="H183" i="1" s="1"/>
  <c r="H182" i="1" s="1"/>
  <c r="H181" i="1" s="1"/>
  <c r="H180" i="1" s="1"/>
  <c r="H179" i="1" s="1"/>
  <c r="H178" i="1" s="1"/>
  <c r="H177" i="1" s="1"/>
  <c r="H176" i="1" s="1"/>
  <c r="H175" i="1" s="1"/>
  <c r="H174" i="1" s="1"/>
  <c r="H173" i="1" s="1"/>
  <c r="H172" i="1" s="1"/>
  <c r="H171" i="1" s="1"/>
  <c r="H170" i="1" s="1"/>
  <c r="H169" i="1" s="1"/>
  <c r="H168" i="1" s="1"/>
  <c r="H167" i="1" s="1"/>
  <c r="H166" i="1" s="1"/>
  <c r="H165" i="1" s="1"/>
  <c r="H164" i="1" s="1"/>
  <c r="H163" i="1" s="1"/>
  <c r="H162" i="1" s="1"/>
  <c r="H161" i="1" s="1"/>
  <c r="H160" i="1" s="1"/>
  <c r="H159" i="1" s="1"/>
  <c r="H158" i="1" s="1"/>
  <c r="H157" i="1" s="1"/>
  <c r="H156" i="1" s="1"/>
  <c r="H155" i="1" s="1"/>
  <c r="H154" i="1" s="1"/>
  <c r="H153" i="1" s="1"/>
  <c r="H152" i="1" s="1"/>
  <c r="H151" i="1" s="1"/>
  <c r="H150" i="1" s="1"/>
  <c r="H149" i="1" s="1"/>
  <c r="H148" i="1" s="1"/>
  <c r="H147" i="1" s="1"/>
  <c r="H146" i="1" s="1"/>
  <c r="H145" i="1" s="1"/>
  <c r="H144" i="1" s="1"/>
  <c r="H143" i="1" s="1"/>
  <c r="H142" i="1" s="1"/>
  <c r="H141" i="1" s="1"/>
  <c r="H140" i="1" s="1"/>
  <c r="H139" i="1" s="1"/>
  <c r="H138" i="1" s="1"/>
  <c r="H137" i="1" s="1"/>
  <c r="H136" i="1" s="1"/>
  <c r="H135" i="1" s="1"/>
  <c r="H134" i="1" s="1"/>
  <c r="H133" i="1" s="1"/>
  <c r="H132" i="1" s="1"/>
  <c r="H131" i="1" s="1"/>
  <c r="H130" i="1" s="1"/>
  <c r="H129" i="1" s="1"/>
  <c r="H128" i="1" s="1"/>
  <c r="H127" i="1" s="1"/>
  <c r="H126" i="1" s="1"/>
  <c r="H125" i="1" s="1"/>
  <c r="H124" i="1" s="1"/>
  <c r="H123" i="1" s="1"/>
  <c r="H122" i="1" s="1"/>
  <c r="H121" i="1" s="1"/>
  <c r="H120" i="1" s="1"/>
  <c r="H119" i="1" s="1"/>
  <c r="H118" i="1" s="1"/>
  <c r="H117" i="1" s="1"/>
  <c r="H116" i="1" s="1"/>
  <c r="H115" i="1" s="1"/>
  <c r="H114" i="1" s="1"/>
  <c r="H113" i="1" s="1"/>
  <c r="H112" i="1" s="1"/>
  <c r="H111" i="1" s="1"/>
  <c r="H110" i="1" s="1"/>
  <c r="H109" i="1" s="1"/>
  <c r="H108" i="1" s="1"/>
  <c r="H107" i="1" s="1"/>
  <c r="H106" i="1" s="1"/>
  <c r="H105" i="1" s="1"/>
  <c r="H104" i="1" s="1"/>
  <c r="H103" i="1" s="1"/>
  <c r="H102" i="1" s="1"/>
  <c r="H101" i="1" s="1"/>
  <c r="H100" i="1" s="1"/>
  <c r="H99" i="1" s="1"/>
  <c r="H98" i="1" s="1"/>
  <c r="H97" i="1" s="1"/>
  <c r="H96" i="1" s="1"/>
  <c r="H95" i="1" s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H66" i="1" s="1"/>
  <c r="H65" i="1" s="1"/>
  <c r="H64" i="1" s="1"/>
  <c r="H63" i="1" s="1"/>
  <c r="H62" i="1" s="1"/>
  <c r="H61" i="1" s="1"/>
  <c r="H60" i="1" s="1"/>
  <c r="H59" i="1" s="1"/>
  <c r="H58" i="1" s="1"/>
  <c r="H57" i="1" s="1"/>
  <c r="H56" i="1" s="1"/>
  <c r="H55" i="1" s="1"/>
  <c r="H54" i="1" s="1"/>
  <c r="H53" i="1" s="1"/>
  <c r="H52" i="1" s="1"/>
  <c r="H51" i="1" s="1"/>
  <c r="H50" i="1" s="1"/>
  <c r="H49" i="1" s="1"/>
  <c r="H48" i="1" s="1"/>
  <c r="H47" i="1" s="1"/>
  <c r="H46" i="1" s="1"/>
  <c r="H45" i="1" s="1"/>
  <c r="H44" i="1" s="1"/>
  <c r="H43" i="1" s="1"/>
  <c r="H42" i="1" s="1"/>
  <c r="H41" i="1" s="1"/>
  <c r="H40" i="1" s="1"/>
  <c r="H39" i="1" s="1"/>
  <c r="H38" i="1" s="1"/>
  <c r="H37" i="1" s="1"/>
  <c r="H36" i="1" s="1"/>
  <c r="H35" i="1" s="1"/>
  <c r="H34" i="1" s="1"/>
  <c r="H33" i="1" s="1"/>
  <c r="H32" i="1" s="1"/>
  <c r="H31" i="1" s="1"/>
  <c r="H30" i="1" s="1"/>
  <c r="H29" i="1" s="1"/>
  <c r="H28" i="1" s="1"/>
  <c r="H27" i="1" s="1"/>
  <c r="H26" i="1" s="1"/>
  <c r="H25" i="1" s="1"/>
  <c r="H24" i="1" s="1"/>
  <c r="H23" i="1" s="1"/>
  <c r="H22" i="1" s="1"/>
  <c r="H21" i="1" s="1"/>
  <c r="H20" i="1" s="1"/>
  <c r="H19" i="1" s="1"/>
  <c r="H18" i="1" s="1"/>
  <c r="H17" i="1" s="1"/>
  <c r="H16" i="1" s="1"/>
  <c r="H15" i="1" s="1"/>
  <c r="H14" i="1" s="1"/>
  <c r="H13" i="1" s="1"/>
  <c r="H12" i="1" s="1"/>
  <c r="H11" i="1" s="1"/>
  <c r="H10" i="1" s="1"/>
  <c r="H9" i="1" s="1"/>
  <c r="H8" i="1" s="1"/>
  <c r="H7" i="1" s="1"/>
  <c r="H6" i="1" s="1"/>
  <c r="H5" i="1" s="1"/>
  <c r="H4" i="1" s="1"/>
  <c r="H3" i="1" s="1"/>
  <c r="H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9F9DFA-05FF-479E-AB04-EF8FFD85C57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F86C27D-DA4A-43CE-BC1B-80640674F579}" name="WorksheetConnection_portfolio_trades.xlsm!Table1" type="102" refreshedVersion="8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portfolio_trades.xlsmTable11"/>
        </x15:connection>
      </ext>
    </extLst>
  </connection>
</connections>
</file>

<file path=xl/sharedStrings.xml><?xml version="1.0" encoding="utf-8"?>
<sst xmlns="http://schemas.openxmlformats.org/spreadsheetml/2006/main" count="1119" uniqueCount="369">
  <si>
    <t>Symbol</t>
  </si>
  <si>
    <t>OpenDate</t>
  </si>
  <si>
    <t>CloseDate</t>
  </si>
  <si>
    <t>Trade Status</t>
  </si>
  <si>
    <t>Trade Side</t>
  </si>
  <si>
    <t>PnL ($)</t>
  </si>
  <si>
    <t>PnL (%)</t>
  </si>
  <si>
    <t>Entry Price</t>
  </si>
  <si>
    <t>Exit Price</t>
  </si>
  <si>
    <t>Trade Size</t>
  </si>
  <si>
    <t>Holding Period</t>
  </si>
  <si>
    <t>SPY Sep 18 '24 $566 Call</t>
  </si>
  <si>
    <t>Open</t>
  </si>
  <si>
    <t>Short</t>
  </si>
  <si>
    <t>SPY Sep 18 '24 $571 Call</t>
  </si>
  <si>
    <t>Win</t>
  </si>
  <si>
    <t>SPY Sep 17 '24 $565 Call</t>
  </si>
  <si>
    <t>Loss</t>
  </si>
  <si>
    <t>SPY Sep 13 '24 $560 Call</t>
  </si>
  <si>
    <t>SPY Sep 13 '24 $554 Call</t>
  </si>
  <si>
    <t>SPY Sep 16 '24 $554 Call</t>
  </si>
  <si>
    <t>SPY Sep 13 '24 $545 Call</t>
  </si>
  <si>
    <t>SPY Sep 11 '24 $551 Call</t>
  </si>
  <si>
    <t>SPY Sep 11 '24 $548 Call</t>
  </si>
  <si>
    <t>SPY Sep 10 '24 $551 Call</t>
  </si>
  <si>
    <t>SPY Sep 09 '24 $544 Call</t>
  </si>
  <si>
    <t>SPY Sep 09 '24 $547 Call</t>
  </si>
  <si>
    <t>SPY Sep 06 '24 $553 Call</t>
  </si>
  <si>
    <t>SPY Sep 06 '24 $557 Call</t>
  </si>
  <si>
    <t>SPY Sep 06 '24 $555 Call</t>
  </si>
  <si>
    <t>SPY Sep 04 '24 $561 Call</t>
  </si>
  <si>
    <t>SPY Sep 04 '24 $563 Call</t>
  </si>
  <si>
    <t>SPY Aug 30 '24 $563 Call</t>
  </si>
  <si>
    <t>SPY Aug 30 '24 $565 Call</t>
  </si>
  <si>
    <t>SPY Aug 30 '24 $566 Call</t>
  </si>
  <si>
    <t>SPY Aug 28 '24 $565 Call</t>
  </si>
  <si>
    <t>SPY Aug 27 '24 $567 Call</t>
  </si>
  <si>
    <t>SPY Aug 26 '24 $562 Call</t>
  </si>
  <si>
    <t>SPY Aug 26 '24 $568 Call</t>
  </si>
  <si>
    <t>SPY Aug 23 '24 $564 Call</t>
  </si>
  <si>
    <t>SPY Aug 23 '24 $547 Call</t>
  </si>
  <si>
    <t>SPY Aug 23 '24 $540 Call</t>
  </si>
  <si>
    <t>SPY Aug 19 '24 $538 Call</t>
  </si>
  <si>
    <t>SPY Aug 20 '24 $535 Call</t>
  </si>
  <si>
    <t>SPY Aug 19 '24 $525 Call</t>
  </si>
  <si>
    <t>SPY Aug 19 '24 $540 Call</t>
  </si>
  <si>
    <t>SPY Aug 19 '24 $529 Call</t>
  </si>
  <si>
    <t>SPY Aug 16 '24 $532 Call</t>
  </si>
  <si>
    <t>SPY Aug 16 '24 $528 Call</t>
  </si>
  <si>
    <t>SPY Aug 16 '24 $520 Call</t>
  </si>
  <si>
    <t>SPY Aug 19 '24 $527 Call</t>
  </si>
  <si>
    <t>SPY Aug 16 '24 $534 Call</t>
  </si>
  <si>
    <t>SPY Aug 23 '24 $562 Call</t>
  </si>
  <si>
    <t>SPY Aug 16 '24 $559 Call</t>
  </si>
  <si>
    <t>SPY Aug 16 '24 $556 Call</t>
  </si>
  <si>
    <t>SPY Aug 12 '24 $549 Call</t>
  </si>
  <si>
    <t>SPY Aug 12 '24 $553 Call</t>
  </si>
  <si>
    <t>SPY Aug 09 '24 $549 Call</t>
  </si>
  <si>
    <t>SPY Aug 09 '24 $547 Call</t>
  </si>
  <si>
    <t>SPY Aug 02 '24 $548 Call</t>
  </si>
  <si>
    <t>SPY Aug 02 '24 $563 Call</t>
  </si>
  <si>
    <t>SPY Aug 02 '24 $560 Call</t>
  </si>
  <si>
    <t>SPY Aug 02 '24 $555 Call</t>
  </si>
  <si>
    <t>SPY Aug 02 '24 $553 Call</t>
  </si>
  <si>
    <t>SPY Jul 26 '24 $557 Call</t>
  </si>
  <si>
    <t>SPY Jul 26 '24 $555 Call</t>
  </si>
  <si>
    <t>SPY Jul 26 '24 $558 Call</t>
  </si>
  <si>
    <t>SPY Jul 26 '24 $564 Call</t>
  </si>
  <si>
    <t>SPY Jul 26 '24 $562 Call</t>
  </si>
  <si>
    <t>SPY Jul 26 '24 $570 Call</t>
  </si>
  <si>
    <t>SPY Sep 19 '25 $515 Call</t>
  </si>
  <si>
    <t>Long</t>
  </si>
  <si>
    <t>SPY Jul 26 '24 $568 Call</t>
  </si>
  <si>
    <t>SPY Sep 19 '25 $530 Call</t>
  </si>
  <si>
    <t>SPY Jul 26 '24 $566 Call</t>
  </si>
  <si>
    <t>SPY Jul 19 '24 $564 Call</t>
  </si>
  <si>
    <t>SPY Jul 19 '24 $560 Call</t>
  </si>
  <si>
    <t>SPY Jul 22 '24 $559 Call</t>
  </si>
  <si>
    <t>SPY Jul 19 '24 $567 Call</t>
  </si>
  <si>
    <t>SPY Jul 19 '24 $565 Call</t>
  </si>
  <si>
    <t>SPY Jul 19 '24 $562 Call</t>
  </si>
  <si>
    <t>SPY Jun 20 '25 $500 Call</t>
  </si>
  <si>
    <t>SPY Jul 19 '24 $557 Call</t>
  </si>
  <si>
    <t>SPY Jul 15 '24 $555 Call</t>
  </si>
  <si>
    <t>SPY Jul 12 '24 $552.50 Call</t>
  </si>
  <si>
    <t>SPY Jul 12 '24 $548 Call</t>
  </si>
  <si>
    <t>SPY Jul 12 '24 $547 Call</t>
  </si>
  <si>
    <t>SPY Jul 12 '24 $550 Call</t>
  </si>
  <si>
    <t>SPY Jul 08 '24 $555 Call</t>
  </si>
  <si>
    <t>SPY Jul 05 '24 $550 Call</t>
  </si>
  <si>
    <t>SPY Jul 08 '24 $547 Call</t>
  </si>
  <si>
    <t>SPY Jul 05 '24 $548 Call</t>
  </si>
  <si>
    <t>SPY Jul 05 '24 $553 Call</t>
  </si>
  <si>
    <t>SPY Jul 05 '24 $555 Call</t>
  </si>
  <si>
    <t>SPY Jun 28 '24 $552 Call</t>
  </si>
  <si>
    <t>SPY Jun 21 '24 $545 Call</t>
  </si>
  <si>
    <t>SPY Jun 21 '24 $544 Call</t>
  </si>
  <si>
    <t>SPY Jun 20 '24 $546 Call</t>
  </si>
  <si>
    <t>SPY Jun 21 '24 $550 Call</t>
  </si>
  <si>
    <t>SPY Jun 20 '25 $485 Call</t>
  </si>
  <si>
    <t>SPY Jun 21 '24 $548 Call</t>
  </si>
  <si>
    <t>SPY Jun 21 '24 $540 Call</t>
  </si>
  <si>
    <t>SPY Jun 21 '24 $536 Call</t>
  </si>
  <si>
    <t>SPY Jun 14 '24 $540 Call</t>
  </si>
  <si>
    <t>SPY Jun 14 '24 $537 Call</t>
  </si>
  <si>
    <t>SPY Jun 14 '24 $530 Call</t>
  </si>
  <si>
    <t>SPY Jun 17 '24 $527 Call</t>
  </si>
  <si>
    <t>SPY Jun 10 '24 $521 Call</t>
  </si>
  <si>
    <t>SPY Jun 07 '24 $525 Call</t>
  </si>
  <si>
    <t>SPY Jun 07 '24 $529 Call</t>
  </si>
  <si>
    <t>SPY Jun 07 '24 $528 Call</t>
  </si>
  <si>
    <t>SPY May 31 '24 $532 Call</t>
  </si>
  <si>
    <t>SPY May 31 '24 $531 Call</t>
  </si>
  <si>
    <t>SPY May 31 '24 $534 Call</t>
  </si>
  <si>
    <t>SPY May 31 '24 $536 Call</t>
  </si>
  <si>
    <t>SPY May 31 '24 $538 Call</t>
  </si>
  <si>
    <t>SPY May 24 '24 $533 Call</t>
  </si>
  <si>
    <t>SPY May 24 '24 $535 Call</t>
  </si>
  <si>
    <t>SPY Mar 21 '25 $475 Call</t>
  </si>
  <si>
    <t>SPY May 28 '24 $530 Call</t>
  </si>
  <si>
    <t>SPY May 24 '24 $528 Call</t>
  </si>
  <si>
    <t>SPY May 28 '24 $525 Call</t>
  </si>
  <si>
    <t>SPY May 24 '24 $524 Call</t>
  </si>
  <si>
    <t>SPY May 17 '24 $523 Call</t>
  </si>
  <si>
    <t>SPY May 17 '24 $524 Call</t>
  </si>
  <si>
    <t>SPY May 17 '24 $525 Call</t>
  </si>
  <si>
    <t>SPY May 17 '24 $520 Call</t>
  </si>
  <si>
    <t>SPY May 17 '24 $518 Call</t>
  </si>
  <si>
    <t>SPY May 14 '24 $514 Call</t>
  </si>
  <si>
    <t>SPY May 10 '24 $512 Call</t>
  </si>
  <si>
    <t>SPY May 10 '24 $514 Call</t>
  </si>
  <si>
    <t>SPY May 10 '24 $505 Call</t>
  </si>
  <si>
    <t>SPY May 10 '24 $502 Call</t>
  </si>
  <si>
    <t>SPY May 10 '24 $513 Call</t>
  </si>
  <si>
    <t>SPY May 10 '24 $512.50 Call</t>
  </si>
  <si>
    <t>SPY May 03 '24 $515 Call</t>
  </si>
  <si>
    <t>SPY May 03 '24 $510 Call</t>
  </si>
  <si>
    <t>SPY May 03 '24 $512 Call</t>
  </si>
  <si>
    <t>SPY May 03 '24 $508 Call</t>
  </si>
  <si>
    <t>SPY May 03 '24 $506 Call</t>
  </si>
  <si>
    <t>SPY Apr 26 '24 $502 Call</t>
  </si>
  <si>
    <t>SPY Apr 26 '24 $508 Call</t>
  </si>
  <si>
    <t>SPY Apr 26 '24 $510 Call</t>
  </si>
  <si>
    <t>SPY Apr 19 '24 $508 Call</t>
  </si>
  <si>
    <t>SPY Apr 19 '24 $516 Call</t>
  </si>
  <si>
    <t>SPY Apr 19 '24 $520 Call</t>
  </si>
  <si>
    <t>SPY Apr 19 '24 $522 Call</t>
  </si>
  <si>
    <t>SPY Apr 19 '24 $525 Call</t>
  </si>
  <si>
    <t>SPY Apr 12 '24 $525 Call</t>
  </si>
  <si>
    <t>SPY Apr 12 '24 $522 Call</t>
  </si>
  <si>
    <t>SPY Apr 12 '24 $519 Call</t>
  </si>
  <si>
    <t>SPY Apr 15 '24 $522 Call</t>
  </si>
  <si>
    <t>SPY Apr 12 '24 $523 Call</t>
  </si>
  <si>
    <t>SPY Apr 05 '24 $526 Call</t>
  </si>
  <si>
    <t>SPY Apr 05 '24 $529 Call</t>
  </si>
  <si>
    <t>SPY Apr 05 '24 $530 Call</t>
  </si>
  <si>
    <t>SPY Mar 28 '24 $525 Call</t>
  </si>
  <si>
    <t>SPY Mar 28 '24 $528 Call</t>
  </si>
  <si>
    <t>SPY Mar 21 '25 $470 Call</t>
  </si>
  <si>
    <t>SPY Mar 22 '24 $520 Call</t>
  </si>
  <si>
    <t>SPY Mar 22 '24 $518 Call</t>
  </si>
  <si>
    <t>SPY Mar 22 '24 $515 Call</t>
  </si>
  <si>
    <t>SPY Mar 22 '24 $523 Call</t>
  </si>
  <si>
    <t>SPY Mar 18 '24 $517 Call</t>
  </si>
  <si>
    <t>SPY Mar 18 '24 $525 Call</t>
  </si>
  <si>
    <t>SPY Mar 18 '24 $520 Call</t>
  </si>
  <si>
    <t>SPY Jan 17 '25 $465 Call</t>
  </si>
  <si>
    <t>SPY Mar 15 '24 $517 Call</t>
  </si>
  <si>
    <t>SPY Mar 15 '24 $515 Call</t>
  </si>
  <si>
    <t>SPY Mar 15 '24 $513 Call</t>
  </si>
  <si>
    <t>SPY Mar 15 '24 $520 Call</t>
  </si>
  <si>
    <t>SPY Mar 08 '24 $516 Call</t>
  </si>
  <si>
    <t>SPY Mar 08 '24 $512 Call</t>
  </si>
  <si>
    <t>SPY Mar 08 '24 $510 Call</t>
  </si>
  <si>
    <t>SPY Mar 01 '24 $512 Call</t>
  </si>
  <si>
    <t>SPY Mar 01 '24 $515 Call</t>
  </si>
  <si>
    <t>SPY Jan 17 '25 $460 Call</t>
  </si>
  <si>
    <t>SPY Mar 01 '24 $511 Call</t>
  </si>
  <si>
    <t>SPY Mar 01 '24 $509 Call</t>
  </si>
  <si>
    <t>SPY Jan 17 '25 $455 Call</t>
  </si>
  <si>
    <t>SPY Feb 26 '24 $500 Call</t>
  </si>
  <si>
    <t>SPY Feb 26 '24 $499 Call</t>
  </si>
  <si>
    <t>SPY Feb 23 '24 $501 Call</t>
  </si>
  <si>
    <t>SPY Feb 23 '24 $503 Call</t>
  </si>
  <si>
    <t>SPY Feb 23 '24 $505 Call</t>
  </si>
  <si>
    <t>SPY Feb 20 '24 $500 Call</t>
  </si>
  <si>
    <t>SPY Feb 16 '24 $497 Call</t>
  </si>
  <si>
    <t>SPY Feb 16 '24 $507 Call</t>
  </si>
  <si>
    <t>SPY Feb 09 '24 $502 Call</t>
  </si>
  <si>
    <t>SPY Jan 17 '25 $450 Call</t>
  </si>
  <si>
    <t>SPY Feb 09 '24 $497 Call</t>
  </si>
  <si>
    <t>SPY Jan 17 '25 $435 Call</t>
  </si>
  <si>
    <t>SPY Feb 05 '24 $486 Call</t>
  </si>
  <si>
    <t>SPY Feb 05 '24 $490 Call</t>
  </si>
  <si>
    <t>SPY Jan 25 '24 $485 Call</t>
  </si>
  <si>
    <t>SPY Dec 20 '24 $425 Call</t>
  </si>
  <si>
    <t>SPY Jan 25 '24 $478 Call</t>
  </si>
  <si>
    <t>SPY Jan 24 '24 $475 Call</t>
  </si>
  <si>
    <t>SPY Jan 19 '24 $478 Call</t>
  </si>
  <si>
    <t>SPY Jan 22 '24 $476 Call</t>
  </si>
  <si>
    <t>SPY Jan 16 '24 $471 Call</t>
  </si>
  <si>
    <t>SPY Jan 09 '24 $472 Call</t>
  </si>
  <si>
    <t>SPY Jan 08 '24 $475 Call</t>
  </si>
  <si>
    <t>SPY Dec 29 '23 $479 Call</t>
  </si>
  <si>
    <t>SPY Dec 29 '23 $475 Call</t>
  </si>
  <si>
    <t>SPY Dec 20 '24 $415 Call</t>
  </si>
  <si>
    <t>SPY Dec 08 '23 $457 Call</t>
  </si>
  <si>
    <t>SPY Dec 08 '23 $460 Call</t>
  </si>
  <si>
    <t>SPY Sep 20 '24 $400 Call</t>
  </si>
  <si>
    <t>SPY Nov 30 '23 $458 Call</t>
  </si>
  <si>
    <t>SPY Nov 30 '23 $456 Call</t>
  </si>
  <si>
    <t>SPY Nov 27 '23 $454 Call</t>
  </si>
  <si>
    <t>SPY Nov 17 '23 $462 Call</t>
  </si>
  <si>
    <t>SPY Nov 17 '23 $444 Call</t>
  </si>
  <si>
    <t>SPY Nov 17 '23 $440 Call</t>
  </si>
  <si>
    <t>SPY Nov 14 '23 $437 Call</t>
  </si>
  <si>
    <t>SPY Nov 13 '23 $440 Call</t>
  </si>
  <si>
    <t>SPY Nov 10 '23 $434 Call</t>
  </si>
  <si>
    <t>SPY Nov 03 '23 $424 Call</t>
  </si>
  <si>
    <t>SPY Nov 03 '23 $422 Call</t>
  </si>
  <si>
    <t>SPY Nov 03 '23 $419 Call</t>
  </si>
  <si>
    <t>SPY Nov 01 '23 $417 Call</t>
  </si>
  <si>
    <t>SPY Nov 01 '23 $422 Call</t>
  </si>
  <si>
    <t>SPY Nov 02 '23 $427 Call</t>
  </si>
  <si>
    <t>SPY Nov 01 '23 $425 Call</t>
  </si>
  <si>
    <t>SPY Nov 01 '23 $427 Call</t>
  </si>
  <si>
    <t>SPY Oct 30 '23 $425 Call</t>
  </si>
  <si>
    <t>SPY Oct 23 '23 $429 Call</t>
  </si>
  <si>
    <t>SPY Oct 23 '23 $431 Call</t>
  </si>
  <si>
    <t>SPY Oct 23 '23 $433 Call</t>
  </si>
  <si>
    <t>SPY Oct 23 '23 $435 Call</t>
  </si>
  <si>
    <t>SPY Oct 23 '23 $436 Call</t>
  </si>
  <si>
    <t>SPY Oct 23 '23 $438 Call</t>
  </si>
  <si>
    <t>SPY Oct 20 '23 $435 Call</t>
  </si>
  <si>
    <t>SPY Oct 18 '23 $438 Call</t>
  </si>
  <si>
    <t>SPY Oct 13 '23 $434 Call</t>
  </si>
  <si>
    <t>SPY Oct 13 '23 $429 Call</t>
  </si>
  <si>
    <t>SPY Oct 09 '23 $429 Call</t>
  </si>
  <si>
    <t>SPY Oct 09 '23 $427 Call</t>
  </si>
  <si>
    <t>SPY Oct 09 '23 $425 Call</t>
  </si>
  <si>
    <t>SPY Oct 06 '23 $433 Call</t>
  </si>
  <si>
    <t>SPY Sep 29 '23 $430 Call</t>
  </si>
  <si>
    <t>SPY Sep 29 '23 $432 Call</t>
  </si>
  <si>
    <t>SPY Sep 27 '23 $433 Call</t>
  </si>
  <si>
    <t>SPY Sep 26 '23 $436 Call</t>
  </si>
  <si>
    <t>SPY Sep 25 '23 $440 Call</t>
  </si>
  <si>
    <t>SPY Sep 22 '23 $445 Call</t>
  </si>
  <si>
    <t>SPY Sep 22 '23 $447.50 Call</t>
  </si>
  <si>
    <t>SPY Sep 22 '23 $450 Call</t>
  </si>
  <si>
    <t>SPY Sep 15 '23 $450 Call</t>
  </si>
  <si>
    <t>SPY Sep 15 '23 $449 Call</t>
  </si>
  <si>
    <t>SPY Sep 15 '23 $455 Call</t>
  </si>
  <si>
    <t>SPY Sep 05 '23 $450 Call</t>
  </si>
  <si>
    <t>SPY Sep 01 '23 $445 Call</t>
  </si>
  <si>
    <t>SPY Aug 28 '23 $440 Call</t>
  </si>
  <si>
    <t>SPY Aug 25 '23 $445 Call</t>
  </si>
  <si>
    <t>SPY Aug 18 '23 $450 Call</t>
  </si>
  <si>
    <t>SPY Aug 11 '23 $453 Call</t>
  </si>
  <si>
    <t>SPY Aug 04 '23 $458 Call</t>
  </si>
  <si>
    <t>SPY Aug 04 '23 $454 Call</t>
  </si>
  <si>
    <t>SPY Jul 28 '23 $458 Call</t>
  </si>
  <si>
    <t>SPY Jul 28 '23 $456 Call</t>
  </si>
  <si>
    <t>SPY Aug 01 '23 $454 Call</t>
  </si>
  <si>
    <t>SPY Jul 28 '23 $451 Call</t>
  </si>
  <si>
    <t>SPY Jul 21 '23 $448 Call</t>
  </si>
  <si>
    <t>SPY Jul 14 '23 $440 Call</t>
  </si>
  <si>
    <t>SPY Jul 14 '23 $445 Call</t>
  </si>
  <si>
    <t>SPY Jul 05 '23 $440 Call</t>
  </si>
  <si>
    <t>SPY Jul 05 '23 $437 Call</t>
  </si>
  <si>
    <t>SPY Jun 28 '23 $437 Call</t>
  </si>
  <si>
    <t>SPY Jun 27 '23 $440 Call</t>
  </si>
  <si>
    <t>SPY Jun 21 '24 $380 Call</t>
  </si>
  <si>
    <t>SPY Jun 15 '23 $432 Call</t>
  </si>
  <si>
    <t>SPY Jun 14 '23 $427 Call</t>
  </si>
  <si>
    <t>SPY Jun 09 '23 $428 Call</t>
  </si>
  <si>
    <t>SPY Jun 06 '23 $419 Call</t>
  </si>
  <si>
    <t>SPY May 31 '23 $414 Call</t>
  </si>
  <si>
    <t>SPY May 26 '23 $416 Call</t>
  </si>
  <si>
    <t>SPY May 26 '23 $420 Call</t>
  </si>
  <si>
    <t>SPY Mar 15 '24 $360 Call</t>
  </si>
  <si>
    <t>SPY May 25 '23 $415 Call</t>
  </si>
  <si>
    <t>SPY May 24 '23 $413 Call</t>
  </si>
  <si>
    <t>SPY May 18 '23 $413 Call</t>
  </si>
  <si>
    <t>SPY May 17 '23 $415 Call</t>
  </si>
  <si>
    <t>SPY May 11 '23 $412 Call</t>
  </si>
  <si>
    <t>SPY May 10 '23 $409 Call</t>
  </si>
  <si>
    <t>SPY May 05 '23 $415 Call</t>
  </si>
  <si>
    <t>SPY May 02 '23 $412 Call</t>
  </si>
  <si>
    <t>SPY Apr 28 '23 $415 Call</t>
  </si>
  <si>
    <t>SPY Apr 21 '23 $413 Call</t>
  </si>
  <si>
    <t>SPY Apr 19 '23 $410 Call</t>
  </si>
  <si>
    <t>SPY Apr 14 '23 $411 Call</t>
  </si>
  <si>
    <t>SPY Apr 11 '23 $410 Call</t>
  </si>
  <si>
    <t>SPY Apr 11 '23 $412 Call</t>
  </si>
  <si>
    <t>SPY Apr 06 '23 $410 Call</t>
  </si>
  <si>
    <t>SPY Apr 05 '23 $401 Call</t>
  </si>
  <si>
    <t>SPY Mar 31 '23 $396 Call</t>
  </si>
  <si>
    <t>SPY Mar 28 '23 $396 Call</t>
  </si>
  <si>
    <t>SPY Mar 27 '23 $394 Call</t>
  </si>
  <si>
    <t>SPY Mar 24 '23 $390 Call</t>
  </si>
  <si>
    <t>SPY Mar 20 '23 $390 Call</t>
  </si>
  <si>
    <t>SPY Mar 17 '23 $396 Call</t>
  </si>
  <si>
    <t>SPY Mar 17 '23 $400 Call</t>
  </si>
  <si>
    <t>SPY Mar 17 '23 $406 Call</t>
  </si>
  <si>
    <t>SPY Mar 15 '23 $405 Call</t>
  </si>
  <si>
    <t>SPY Jan 19 '24 $350 Call</t>
  </si>
  <si>
    <t>SPY Mar 10 '23 $400 Call</t>
  </si>
  <si>
    <t>SPY Mar 03 '23 $400 Call</t>
  </si>
  <si>
    <t>SPY Feb 24 '23 $405 Call</t>
  </si>
  <si>
    <t>SPY Feb 24 '23 $414 Call</t>
  </si>
  <si>
    <t>SPY Feb 16 '23 $414 Call</t>
  </si>
  <si>
    <t>SPY Feb 15 '23 $412 Call</t>
  </si>
  <si>
    <t>SPY Feb 10 '23 $414 Call</t>
  </si>
  <si>
    <t>SPY Feb 03 '23 $415 Call</t>
  </si>
  <si>
    <t>SPY Feb 01 '23 $406 Call</t>
  </si>
  <si>
    <t>SPY Jan 31 '23 $401 Call</t>
  </si>
  <si>
    <t>SPY Jan 27 '23 $398 Call</t>
  </si>
  <si>
    <t>SPY Jan 24 '23 $392 Call</t>
  </si>
  <si>
    <t>SPY Jan 20 '23 $395 Call</t>
  </si>
  <si>
    <t>SPY Jan 18 '23 $395 Call</t>
  </si>
  <si>
    <t>SPY Jan 13 '23 $395 Call</t>
  </si>
  <si>
    <t>SPY Jan 11 '23 $390 Call</t>
  </si>
  <si>
    <t>SPY Jan 11 '23 $386 Call</t>
  </si>
  <si>
    <t>SPY Jan 06 '23 $385 Call</t>
  </si>
  <si>
    <t>SPY Jan 06 '23 $384 Call</t>
  </si>
  <si>
    <t>SPY Jan 03 '23 $383 Call</t>
  </si>
  <si>
    <t>SPY Dec 30 '22 $380 Call</t>
  </si>
  <si>
    <t>SPY Dec 23 '22 $382 Call</t>
  </si>
  <si>
    <t>SPY Dec 20 '22 $385 Call</t>
  </si>
  <si>
    <t>SPY Dec 19 '22 $390 Call</t>
  </si>
  <si>
    <t>SPY Dec 16 '22 $403 Call</t>
  </si>
  <si>
    <t>SPY Dec 19 '22 $396 Call</t>
  </si>
  <si>
    <t>SPY Dec 14 '22 $401 Call</t>
  </si>
  <si>
    <t>SPY Dec 09 '22 $397 Call</t>
  </si>
  <si>
    <t>SPY Dec 09 '22 $406 Call</t>
  </si>
  <si>
    <t>SPY Dec 08 '22 $407 Call</t>
  </si>
  <si>
    <t>SPY Dec 06 '22 $407 Call</t>
  </si>
  <si>
    <t>SPY Dec 02 '22 $405 Call</t>
  </si>
  <si>
    <t>SPY Dec 01 '22 $400 Call</t>
  </si>
  <si>
    <t>SPY Nov 28 '22 $400 Call</t>
  </si>
  <si>
    <t>SPY Nov 25 '22 $397 Call</t>
  </si>
  <si>
    <t>SPY Nov 21 '22 $396 Call</t>
  </si>
  <si>
    <t>SPY Nov 18 '22 $396 Call</t>
  </si>
  <si>
    <t>SPY Nov 17 '22 $398 Call</t>
  </si>
  <si>
    <t>SPY Nov 16 '22 $395 Call</t>
  </si>
  <si>
    <t>SPY Nov 16 '22 $403 Call</t>
  </si>
  <si>
    <t>SPY Nov 14 '22 $380 Call</t>
  </si>
  <si>
    <t>SPY Nov 16 '22 $399 Call</t>
  </si>
  <si>
    <t>SPY Nov 11 '22 $390 Call</t>
  </si>
  <si>
    <t>SPY Nov 11 '22 $383 Call</t>
  </si>
  <si>
    <t>SPY Dec 15 '23 $340 Call</t>
  </si>
  <si>
    <t>Cumulative</t>
  </si>
  <si>
    <t>BE</t>
  </si>
  <si>
    <t>Row Labels</t>
  </si>
  <si>
    <t>Grand Total</t>
  </si>
  <si>
    <t>2022</t>
  </si>
  <si>
    <t>2023</t>
  </si>
  <si>
    <t>2024</t>
  </si>
  <si>
    <t>Sum of PnL ($)</t>
  </si>
  <si>
    <t>SPY Sep 19 '24 $567 Call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</si>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</sst>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4" fontId="0" fillId="0" borderId="0" xfId="0" applyNumberFormat="1"/>
    <xf numFmtId="44" fontId="0" fillId="0" borderId="0" xfId="1" applyFont="1"/>
    <xf numFmtId="8" fontId="0" fillId="0" borderId="0" xfId="1" applyNumberFormat="1" applyFont="1"/>
    <xf numFmtId="10" fontId="0" fillId="0" borderId="0" xfId="2" applyNumberFormat="1" applyFont="1"/>
    <xf numFmtId="0" fontId="0" fillId="0" borderId="0" xfId="0" applyAlignment="1">
      <alignment horizontal="center" vertical="center"/>
    </xf>
    <xf numFmtId="8" fontId="0" fillId="0" borderId="0" xfId="2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17" fillId="0" borderId="0" xfId="0" applyFont="1"/>
    <xf numFmtId="8" fontId="0" fillId="0" borderId="0" xfId="0" applyNumberFormat="1"/>
    <xf numFmtId="0" fontId="0" fillId="0" borderId="0" xfId="0" applyNumberFormat="1"/>
    <xf numFmtId="0" fontId="0" fillId="0" borderId="0" xfId="0" applyAlignment="1">
      <alignment horizontal="left" indent="1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alignment horizontal="center" vertical="center" textRotation="0" wrapText="0" indent="0" justifyLastLine="0" shrinkToFit="0" readingOrder="0"/>
    </dxf>
    <dxf>
      <numFmt numFmtId="14" formatCode="0.00%"/>
    </dxf>
    <dxf>
      <numFmt numFmtId="12" formatCode="&quot;$&quot;#,##0.00_);[Red]\(&quot;$&quot;#,##0.00\)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[portfolio_trades.xlsm]Sheet2!PivotTable2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Sheet2!$A$2:$A$14</c:f>
              <c:multiLvlStrCache>
                <c:ptCount val="11"/>
                <c:lvl>
                  <c:pt idx="2">
                    <c:v>Jan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Apr</c:v>
                  </c:pt>
                  <c:pt idx="6">
                    <c:v>May</c:v>
                  </c:pt>
                  <c:pt idx="7">
                    <c:v>Jun</c:v>
                  </c:pt>
                  <c:pt idx="8">
                    <c:v>Jul</c:v>
                  </c:pt>
                  <c:pt idx="9">
                    <c:v>Aug</c:v>
                  </c:pt>
                  <c:pt idx="10">
                    <c:v>Sep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2">
                    <c:v>2024</c:v>
                  </c:pt>
                </c:lvl>
              </c:multiLvlStrCache>
            </c:multiLvlStrRef>
          </c:cat>
          <c:val>
            <c:numRef>
              <c:f>Sheet2!$B$2:$B$14</c:f>
              <c:numCache>
                <c:formatCode>General</c:formatCode>
                <c:ptCount val="11"/>
                <c:pt idx="0">
                  <c:v>1370.9999999999932</c:v>
                </c:pt>
                <c:pt idx="1">
                  <c:v>7968.9999999999918</c:v>
                </c:pt>
                <c:pt idx="2">
                  <c:v>350.99999999999204</c:v>
                </c:pt>
                <c:pt idx="3">
                  <c:v>5636.99999999999</c:v>
                </c:pt>
                <c:pt idx="4">
                  <c:v>5060.9999999999991</c:v>
                </c:pt>
                <c:pt idx="5">
                  <c:v>3968.9999999999914</c:v>
                </c:pt>
                <c:pt idx="6">
                  <c:v>-1091.9999999999986</c:v>
                </c:pt>
                <c:pt idx="7">
                  <c:v>-3280.9999999999941</c:v>
                </c:pt>
                <c:pt idx="8">
                  <c:v>6444.0000000000118</c:v>
                </c:pt>
                <c:pt idx="9">
                  <c:v>1798.0000000000027</c:v>
                </c:pt>
                <c:pt idx="10">
                  <c:v>315.00000000000887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7-41BF-8459-91ABE7E5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5472575"/>
        <c:axId val="1805470175"/>
      </c:barChart>
      <c:catAx>
        <c:axId val="180547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470175"/>
        <c:crosses val="autoZero"/>
        <c:auto val="1"/>
        <c:lblAlgn val="ctr"/>
        <c:lblOffset val="100"/>
        <c:noMultiLvlLbl val="0"/>
      </c:catAx>
      <c:valAx>
        <c:axId val="180547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47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302078</xdr:colOff>
      <xdr:row>0</xdr:row>
      <xdr:rowOff>8164</xdr:rowOff>
    </xdr:from>
    <xdr:to>
      <xdr:col>18</xdr:col>
      <xdr:colOff>429985</xdr:colOff>
      <xdr:row>32</xdr:row>
      <xdr:rowOff>163285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492B50-D727-50C7-4FFF-D468F5827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y Bagchi" refreshedDate="45554.31983252315" backgroundQuery="1" createdVersion="8" refreshedVersion="8" minRefreshableVersion="3" recordCount="0" supportSubquery="1" supportAdvancedDrill="1" xr:uid="{B443976B-6366-4B2E-BD7E-A0176D22389F}">
  <cacheSource type="external" connectionId="1"/>
  <cacheFields count="6">
    <cacheField name="[Measures].[Sum of PnL ($)]" caption="Sum of PnL ($)" numFmtId="0" hierarchy="18" level="32767"/>
    <cacheField name="[Table1].[Trade Side].[Trade Side]" caption="Trade Side" numFmtId="0" hierarchy="4" level="1">
      <sharedItems count="1">
        <s v="Short"/>
      </sharedItems>
    </cacheField>
    <cacheField name="[Table1].[Trade Status].[Trade Status]" caption="Trade Status" numFmtId="0" hierarchy="3" level="1">
      <sharedItems count="1">
        <s v="Win"/>
      </sharedItems>
    </cacheField>
    <cacheField name="[Table1].[CloseDate (Year)].[CloseDate (Year)]" caption="CloseDate (Year)" numFmtId="0" hierarchy="12" level="1">
      <sharedItems count="3">
        <s v="2022"/>
        <s v="2023"/>
        <s v="2024"/>
      </sharedItems>
    </cacheField>
    <cacheField name="[Table1].[CloseDate (Month)].[CloseDate (Month)]" caption="CloseDate (Month)" numFmtId="0" hierarchy="14" level="1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[Table1].[CloseDate].[CloseDate]" caption="CloseDate" numFmtId="0" hierarchy="2" level="1">
      <sharedItems containsSemiMixedTypes="0" containsNonDate="0" containsDate="1" containsString="0" minDate="2023-09-05T00:00:00" maxDate="2023-09-30T00:00:00" count="11">
        <d v="2023-09-05T00:00:00"/>
        <d v="2023-09-06T00:00:00"/>
        <d v="2023-09-11T00:00:00"/>
        <d v="2023-09-13T00:00:00"/>
        <d v="2023-09-15T00:00:00"/>
        <d v="2023-09-19T00:00:00"/>
        <d v="2023-09-20T00:00:00"/>
        <d v="2023-09-21T00:00:00"/>
        <d v="2023-09-22T00:00:00"/>
        <d v="2023-09-26T00:00:00"/>
        <d v="2023-09-29T00:00:00"/>
      </sharedItems>
    </cacheField>
  </cacheFields>
  <cacheHierarchies count="20">
    <cacheHierarchy uniqueName="[Table1].[Symbol]" caption="Symbol" attribute="1" defaultMemberUniqueName="[Table1].[Symbol].[All]" allUniqueName="[Table1].[Symbol].[All]" dimensionUniqueName="[Table1]" displayFolder="" count="0" memberValueDatatype="130" unbalanced="0"/>
    <cacheHierarchy uniqueName="[Table1].[OpenDate]" caption="OpenDate" attribute="1" time="1" defaultMemberUniqueName="[Table1].[OpenDate].[All]" allUniqueName="[Table1].[OpenDate].[All]" dimensionUniqueName="[Table1]" displayFolder="" count="0" memberValueDatatype="7" unbalanced="0"/>
    <cacheHierarchy uniqueName="[Table1].[CloseDate]" caption="CloseDate" attribute="1" time="1" defaultMemberUniqueName="[Table1].[CloseDate].[All]" allUniqueName="[Table1].[CloseDate].[All]" dimensionUniqueName="[Table1]" displayFolder="" count="2" memberValueDatatype="7" unbalanced="0">
      <fieldsUsage count="2">
        <fieldUsage x="-1"/>
        <fieldUsage x="5"/>
      </fieldsUsage>
    </cacheHierarchy>
    <cacheHierarchy uniqueName="[Table1].[Trade Status]" caption="Trade Status" attribute="1" defaultMemberUniqueName="[Table1].[Trade Status].[All]" allUniqueName="[Table1].[Trade Status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Trade Side]" caption="Trade Side" attribute="1" defaultMemberUniqueName="[Table1].[Trade Side].[All]" allUniqueName="[Table1].[Trade Side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PnL ($)]" caption="PnL ($)" attribute="1" defaultMemberUniqueName="[Table1].[PnL ($)].[All]" allUniqueName="[Table1].[PnL ($)].[All]" dimensionUniqueName="[Table1]" displayFolder="" count="0" memberValueDatatype="5" unbalanced="0"/>
    <cacheHierarchy uniqueName="[Table1].[PnL (%)]" caption="PnL (%)" attribute="1" defaultMemberUniqueName="[Table1].[PnL (%)].[All]" allUniqueName="[Table1].[PnL (%)].[All]" dimensionUniqueName="[Table1]" displayFolder="" count="0" memberValueDatatype="5" unbalanced="0"/>
    <cacheHierarchy uniqueName="[Table1].[Cumulative]" caption="Cumulative" attribute="1" defaultMemberUniqueName="[Table1].[Cumulative].[All]" allUniqueName="[Table1].[Cumulative].[All]" dimensionUniqueName="[Table1]" displayFolder="" count="0" memberValueDatatype="5" unbalanced="0"/>
    <cacheHierarchy uniqueName="[Table1].[Entry Price]" caption="Entry Price" attribute="1" defaultMemberUniqueName="[Table1].[Entry Price].[All]" allUniqueName="[Table1].[Entry Price].[All]" dimensionUniqueName="[Table1]" displayFolder="" count="0" memberValueDatatype="5" unbalanced="0"/>
    <cacheHierarchy uniqueName="[Table1].[Exit Price]" caption="Exit Price" attribute="1" defaultMemberUniqueName="[Table1].[Exit Price].[All]" allUniqueName="[Table1].[Exit Price].[All]" dimensionUniqueName="[Table1]" displayFolder="" count="0" memberValueDatatype="5" unbalanced="0"/>
    <cacheHierarchy uniqueName="[Table1].[Trade Size]" caption="Trade Size" attribute="1" defaultMemberUniqueName="[Table1].[Trade Size].[All]" allUniqueName="[Table1].[Trade Size].[All]" dimensionUniqueName="[Table1]" displayFolder="" count="0" memberValueDatatype="20" unbalanced="0"/>
    <cacheHierarchy uniqueName="[Table1].[Holding Period]" caption="Holding Period" attribute="1" defaultMemberUniqueName="[Table1].[Holding Period].[All]" allUniqueName="[Table1].[Holding Period].[All]" dimensionUniqueName="[Table1]" displayFolder="" count="0" memberValueDatatype="20" unbalanced="0"/>
    <cacheHierarchy uniqueName="[Table1].[CloseDate (Year)]" caption="CloseDate (Year)" attribute="1" defaultMemberUniqueName="[Table1].[CloseDate (Year)].[All]" allUniqueName="[Table1].[CloseDate (Year)].[All]" dimensionUniqueName="[Table1]" displayFolder="" count="2" memberValueDatatype="130" unbalanced="0">
      <fieldsUsage count="2">
        <fieldUsage x="-1"/>
        <fieldUsage x="3"/>
      </fieldsUsage>
    </cacheHierarchy>
    <cacheHierarchy uniqueName="[Table1].[CloseDate (Quarter)]" caption="CloseDate (Quarter)" attribute="1" defaultMemberUniqueName="[Table1].[CloseDate (Quarter)].[All]" allUniqueName="[Table1].[CloseDate (Quarter)].[All]" dimensionUniqueName="[Table1]" displayFolder="" count="0" memberValueDatatype="130" unbalanced="0"/>
    <cacheHierarchy uniqueName="[Table1].[CloseDate (Month)]" caption="CloseDate (Month)" attribute="1" defaultMemberUniqueName="[Table1].[CloseDate (Month)].[All]" allUniqueName="[Table1].[CloseDate (Month)].[All]" dimensionUniqueName="[Table1]" displayFolder="" count="2" memberValueDatatype="130" unbalanced="0">
      <fieldsUsage count="2">
        <fieldUsage x="-1"/>
        <fieldUsage x="4"/>
      </fieldsUsage>
    </cacheHierarchy>
    <cacheHierarchy uniqueName="[Table1].[CloseDate (Month Index)]" caption="CloseDate (Month Index)" attribute="1" defaultMemberUniqueName="[Table1].[CloseDate (Month Index)].[All]" allUniqueName="[Table1].[CloseDate (Month Index)].[All]" dimensionUniqueName="[Table1]" displayFolder="" count="0" memberValueDatatype="20" unbalanced="0" hidden="1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PnL ($)]" caption="Sum of PnL ($)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Cumulative]" caption="Sum of Cumulative" measure="1" displayFolder="" measureGroup="Table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7707FB-B6FF-4E66-8DAA-E2324AEA7F79}" name="PivotTable2" cacheId="13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4">
  <location ref="A1:B14" firstHeaderRow="1" firstDataRow="1" firstDataCol="1"/>
  <pivotFields count="6">
    <pivotField dataField="1" subtotalTop="0" showAll="0" defaultSubtotal="0"/>
    <pivotField axis="axisRow" allDrilled="1" showAll="0" dataSourceSort="1" defaultAttributeDrillState="1">
      <items count="2">
        <item x="0"/>
        <item t="default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>
      <items count="3">
        <item x="0" e="0"/>
        <item x="1" e="0"/>
        <item x="2"/>
      </items>
    </pivotField>
    <pivotField axis="axisRow" allDrilled="1" subtotalTop="0" showAll="0" dataSourceSort="1" defaultSubtotal="0">
      <items count="9">
        <item x="0" e="0"/>
        <item x="1" e="0"/>
        <item x="2" e="0"/>
        <item x="3" e="0"/>
        <item x="4" e="0"/>
        <item x="5" e="0"/>
        <item x="6" e="0"/>
        <item x="7" e="0"/>
        <item x="8" e="0"/>
      </items>
    </pivotField>
    <pivotField axis="axisRow" allDrilled="1" subtotalTop="0" showAll="0" dataSourceSort="1" defaultSubtotal="0">
      <items count="11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</items>
    </pivotField>
  </pivotFields>
  <rowFields count="5">
    <field x="3"/>
    <field x="4"/>
    <field x="5"/>
    <field x="1"/>
    <field x="2"/>
  </rowFields>
  <rowItems count="13">
    <i>
      <x/>
    </i>
    <i>
      <x v="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dataFields count="1">
    <dataField name="Sum of PnL ($)" fld="0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5">
    <rowHierarchyUsage hierarchyUsage="12"/>
    <rowHierarchyUsage hierarchyUsage="14"/>
    <rowHierarchyUsage hierarchyUsage="2"/>
    <rowHierarchyUsage hierarchyUsage="4"/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ortfolio_trades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9C80B9-06D6-49FA-AAC6-BE11DDA5DC0D}" name="Table1" displayName="Table1" ref="A1:L365" totalsRowShown="0">
  <autoFilter ref="A1:L365" xr:uid="{209C80B9-06D6-49FA-AAC6-BE11DDA5DC0D}"/>
  <sortState xmlns:xlrd2="http://schemas.microsoft.com/office/spreadsheetml/2017/richdata2" ref="A2:L365">
    <sortCondition descending="1" ref="C1:C365"/>
  </sortState>
  <tableColumns count="12">
    <tableColumn id="1" xr3:uid="{DDE888EB-B52D-4E6D-AF0F-B0D135F5ECB8}" name="Symbol"/>
    <tableColumn id="2" xr3:uid="{0A6C5E41-9CF8-4C8B-BFC1-8474194ED53D}" name="OpenDate" dataDxfId="5"/>
    <tableColumn id="3" xr3:uid="{DB58F8F8-A96E-4071-8D8F-22AFCE5B605F}" name="CloseDate" dataDxfId="4"/>
    <tableColumn id="4" xr3:uid="{6D78F5C0-C387-4C7F-AF0F-573A542DFC9E}" name="Trade Status"/>
    <tableColumn id="5" xr3:uid="{B5E08C6B-4C34-4383-A8E8-03CB5B2243C4}" name="Trade Side"/>
    <tableColumn id="6" xr3:uid="{D874F896-A46F-42EC-B8D3-5BBEB808F949}" name="PnL ($)" dataDxfId="3" dataCellStyle="Currency"/>
    <tableColumn id="7" xr3:uid="{7F8A25ED-8D98-4BAA-8258-51C2901ED451}" name="PnL (%)" dataDxfId="2" dataCellStyle="Percent"/>
    <tableColumn id="12" xr3:uid="{20AC4B11-22A0-485A-97DA-2B06BE541AAA}" name="Cumulative" dataDxfId="0" dataCellStyle="Percent">
      <calculatedColumnFormula>H3+Table1[[#This Row],[PnL ($)]]</calculatedColumnFormula>
    </tableColumn>
    <tableColumn id="8" xr3:uid="{DA5095E0-34D1-4BE4-B037-FF385F5F702C}" name="Entry Price" dataCellStyle="Currency"/>
    <tableColumn id="9" xr3:uid="{89BCA395-A7DC-452E-90B0-62CF6FA1F345}" name="Exit Price" dataCellStyle="Currency"/>
    <tableColumn id="10" xr3:uid="{719A27E0-A39A-4E09-85DA-E9FF99E2529A}" name="Trade Size" dataDxfId="1"/>
    <tableColumn id="11" xr3:uid="{63AB0A00-C878-42FE-B3C4-B354FC656603}" name="Holding Perio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2969D-E1D3-469C-A21A-6131361A64CD}">
  <dimension ref="A1:L365"/>
  <sheetViews>
    <sheetView workbookViewId="0">
      <selection activeCell="C2" sqref="C2"/>
    </sheetView>
  </sheetViews>
  <sheetFormatPr defaultRowHeight="14.6" x14ac:dyDescent="0.4"/>
  <cols>
    <col min="1" max="1" width="23.53515625" bestFit="1" customWidth="1"/>
    <col min="2" max="2" width="11.3828125" bestFit="1" customWidth="1"/>
    <col min="3" max="3" width="11.61328125" bestFit="1" customWidth="1"/>
    <col min="4" max="4" width="13.4609375" bestFit="1" customWidth="1"/>
    <col min="5" max="5" width="11.84375" bestFit="1" customWidth="1"/>
    <col min="6" max="6" width="10.765625" style="3" bestFit="1" customWidth="1"/>
    <col min="7" max="7" width="12.4609375" style="4" bestFit="1" customWidth="1"/>
    <col min="8" max="8" width="12.4609375" style="4" customWidth="1"/>
    <col min="9" max="9" width="12.07421875" style="2" bestFit="1" customWidth="1"/>
    <col min="10" max="10" width="11.84375" style="2" bestFit="1" customWidth="1"/>
    <col min="11" max="11" width="13.84375" style="5" bestFit="1" customWidth="1"/>
    <col min="12" max="12" width="15.3828125" bestFit="1" customWidth="1"/>
  </cols>
  <sheetData>
    <row r="1" spans="1:12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s="3" t="s">
        <v>5</v>
      </c>
      <c r="G1" s="4" t="s">
        <v>6</v>
      </c>
      <c r="H1" s="4" t="s">
        <v>351</v>
      </c>
      <c r="I1" s="2" t="s">
        <v>7</v>
      </c>
      <c r="J1" s="2" t="s">
        <v>8</v>
      </c>
      <c r="K1" s="5" t="s">
        <v>9</v>
      </c>
      <c r="L1" t="s">
        <v>10</v>
      </c>
    </row>
    <row r="2" spans="1:12" x14ac:dyDescent="0.4">
      <c r="A2" t="s">
        <v>73</v>
      </c>
      <c r="B2" s="1">
        <v>45489</v>
      </c>
      <c r="C2" s="9"/>
      <c r="D2" t="s">
        <v>12</v>
      </c>
      <c r="E2" t="s">
        <v>71</v>
      </c>
      <c r="H2" s="6">
        <f>H3+Table1[[#This Row],[PnL ($)]]</f>
        <v>28541.999999999985</v>
      </c>
      <c r="I2" s="2">
        <v>77.33</v>
      </c>
      <c r="K2" s="5">
        <v>6</v>
      </c>
      <c r="L2">
        <v>0</v>
      </c>
    </row>
    <row r="3" spans="1:12" x14ac:dyDescent="0.4">
      <c r="A3" t="s">
        <v>359</v>
      </c>
      <c r="B3" s="1">
        <v>45553</v>
      </c>
      <c r="D3" t="s">
        <v>12</v>
      </c>
      <c r="E3" t="s">
        <v>13</v>
      </c>
      <c r="F3"/>
      <c r="G3"/>
      <c r="H3" s="6">
        <f>H4+Table1[[#This Row],[PnL ($)]]</f>
        <v>28541.999999999985</v>
      </c>
      <c r="I3" s="2">
        <v>1.26</v>
      </c>
      <c r="K3" s="5">
        <v>6</v>
      </c>
      <c r="L3">
        <v>0</v>
      </c>
    </row>
    <row r="4" spans="1:12" x14ac:dyDescent="0.4">
      <c r="A4" t="s">
        <v>11</v>
      </c>
      <c r="B4" s="1">
        <v>45552</v>
      </c>
      <c r="C4" s="1">
        <v>45553</v>
      </c>
      <c r="D4" t="s">
        <v>15</v>
      </c>
      <c r="E4" t="s">
        <v>13</v>
      </c>
      <c r="F4" s="10">
        <v>636</v>
      </c>
      <c r="G4" s="4">
        <v>0.68387096774193501</v>
      </c>
      <c r="H4" s="6">
        <f>H5+Table1[[#This Row],[PnL ($)]]</f>
        <v>28541.999999999985</v>
      </c>
      <c r="I4" s="2">
        <v>1.55</v>
      </c>
      <c r="J4" s="2">
        <v>0.49</v>
      </c>
      <c r="K4" s="5">
        <v>6</v>
      </c>
      <c r="L4">
        <v>1</v>
      </c>
    </row>
    <row r="5" spans="1:12" x14ac:dyDescent="0.4">
      <c r="A5" t="s">
        <v>14</v>
      </c>
      <c r="B5" s="1">
        <v>45552</v>
      </c>
      <c r="C5" s="1">
        <v>45552</v>
      </c>
      <c r="D5" t="s">
        <v>15</v>
      </c>
      <c r="E5" t="s">
        <v>13</v>
      </c>
      <c r="F5" s="3">
        <v>372</v>
      </c>
      <c r="G5" s="4">
        <v>0.60194174757281504</v>
      </c>
      <c r="H5" s="6">
        <f>H6+Table1[[#This Row],[PnL ($)]]</f>
        <v>27905.999999999985</v>
      </c>
      <c r="I5" s="2">
        <v>1.03</v>
      </c>
      <c r="J5" s="2">
        <v>0.41</v>
      </c>
      <c r="K5" s="5">
        <v>6</v>
      </c>
      <c r="L5">
        <v>0</v>
      </c>
    </row>
    <row r="6" spans="1:12" x14ac:dyDescent="0.4">
      <c r="A6" t="s">
        <v>16</v>
      </c>
      <c r="B6" s="1">
        <v>45548</v>
      </c>
      <c r="C6" s="1">
        <v>45552</v>
      </c>
      <c r="D6" t="s">
        <v>17</v>
      </c>
      <c r="E6" t="s">
        <v>13</v>
      </c>
      <c r="F6" s="3">
        <v>-461.99999999999898</v>
      </c>
      <c r="G6" s="4">
        <v>-0.83695652173913004</v>
      </c>
      <c r="H6" s="6">
        <f>H7+Table1[[#This Row],[PnL ($)]]</f>
        <v>27533.999999999985</v>
      </c>
      <c r="I6" s="2">
        <v>0.92</v>
      </c>
      <c r="J6" s="2">
        <v>1.69</v>
      </c>
      <c r="K6" s="5">
        <v>6</v>
      </c>
      <c r="L6">
        <v>4</v>
      </c>
    </row>
    <row r="7" spans="1:12" x14ac:dyDescent="0.4">
      <c r="A7" t="s">
        <v>18</v>
      </c>
      <c r="B7" s="1">
        <v>45546</v>
      </c>
      <c r="C7" s="1">
        <v>45546</v>
      </c>
      <c r="D7" t="s">
        <v>15</v>
      </c>
      <c r="E7" t="s">
        <v>13</v>
      </c>
      <c r="F7" s="3">
        <v>48</v>
      </c>
      <c r="G7" s="4">
        <v>0.186046511627907</v>
      </c>
      <c r="H7" s="6">
        <f>H8+Table1[[#This Row],[PnL ($)]]</f>
        <v>27995.999999999985</v>
      </c>
      <c r="I7" s="2">
        <v>0.43</v>
      </c>
      <c r="J7" s="2">
        <v>0.35</v>
      </c>
      <c r="K7" s="5">
        <v>6</v>
      </c>
      <c r="L7">
        <v>0</v>
      </c>
    </row>
    <row r="8" spans="1:12" x14ac:dyDescent="0.4">
      <c r="A8" t="s">
        <v>19</v>
      </c>
      <c r="B8" s="1">
        <v>45546</v>
      </c>
      <c r="C8" s="1">
        <v>45546</v>
      </c>
      <c r="D8" t="s">
        <v>17</v>
      </c>
      <c r="E8" t="s">
        <v>13</v>
      </c>
      <c r="F8" s="3">
        <v>-834</v>
      </c>
      <c r="G8" s="4">
        <v>-1.6352941176470499</v>
      </c>
      <c r="H8" s="6">
        <f>H9+Table1[[#This Row],[PnL ($)]]</f>
        <v>27947.999999999985</v>
      </c>
      <c r="I8" s="2">
        <v>0.85</v>
      </c>
      <c r="J8" s="2">
        <v>2.2400000000000002</v>
      </c>
      <c r="K8" s="5">
        <v>6</v>
      </c>
      <c r="L8">
        <v>0</v>
      </c>
    </row>
    <row r="9" spans="1:12" x14ac:dyDescent="0.4">
      <c r="A9" t="s">
        <v>20</v>
      </c>
      <c r="B9" s="1">
        <v>45546</v>
      </c>
      <c r="C9" s="1">
        <v>45546</v>
      </c>
      <c r="D9" t="s">
        <v>17</v>
      </c>
      <c r="E9" t="s">
        <v>13</v>
      </c>
      <c r="F9" s="3">
        <v>-12</v>
      </c>
      <c r="G9" s="4">
        <v>-1.5267175572519E-2</v>
      </c>
      <c r="H9" s="6">
        <f>H10+Table1[[#This Row],[PnL ($)]]</f>
        <v>28781.999999999985</v>
      </c>
      <c r="I9" s="2">
        <v>1.31</v>
      </c>
      <c r="J9" s="2">
        <v>1.33</v>
      </c>
      <c r="K9" s="5">
        <v>6</v>
      </c>
      <c r="L9">
        <v>0</v>
      </c>
    </row>
    <row r="10" spans="1:12" x14ac:dyDescent="0.4">
      <c r="A10" t="s">
        <v>21</v>
      </c>
      <c r="B10" s="1">
        <v>45546</v>
      </c>
      <c r="C10" s="1">
        <v>45546</v>
      </c>
      <c r="D10" t="s">
        <v>17</v>
      </c>
      <c r="E10" t="s">
        <v>13</v>
      </c>
      <c r="F10" s="3">
        <v>-1679.99999999999</v>
      </c>
      <c r="G10" s="4">
        <v>-1.3145539906103201</v>
      </c>
      <c r="H10" s="6">
        <f>H11+Table1[[#This Row],[PnL ($)]]</f>
        <v>28793.999999999985</v>
      </c>
      <c r="I10" s="2">
        <v>2.13</v>
      </c>
      <c r="J10" s="2">
        <v>4.93</v>
      </c>
      <c r="K10" s="5">
        <v>6</v>
      </c>
      <c r="L10">
        <v>0</v>
      </c>
    </row>
    <row r="11" spans="1:12" x14ac:dyDescent="0.4">
      <c r="A11" t="s">
        <v>22</v>
      </c>
      <c r="B11" s="1">
        <v>45545</v>
      </c>
      <c r="C11" s="1">
        <v>45546</v>
      </c>
      <c r="D11" t="s">
        <v>15</v>
      </c>
      <c r="E11" t="s">
        <v>13</v>
      </c>
      <c r="F11" s="3">
        <v>971.99999999999898</v>
      </c>
      <c r="G11" s="4">
        <v>0.98181818181818103</v>
      </c>
      <c r="H11" s="6">
        <f>H12+Table1[[#This Row],[PnL ($)]]</f>
        <v>30473.999999999975</v>
      </c>
      <c r="I11" s="2">
        <v>1.65</v>
      </c>
      <c r="J11" s="2">
        <v>0.03</v>
      </c>
      <c r="K11" s="5">
        <v>6</v>
      </c>
      <c r="L11">
        <v>1</v>
      </c>
    </row>
    <row r="12" spans="1:12" x14ac:dyDescent="0.4">
      <c r="A12" t="s">
        <v>23</v>
      </c>
      <c r="B12" s="1">
        <v>45544</v>
      </c>
      <c r="C12" s="1">
        <v>45545</v>
      </c>
      <c r="D12" t="s">
        <v>17</v>
      </c>
      <c r="E12" t="s">
        <v>13</v>
      </c>
      <c r="F12" s="3">
        <v>-712.99999999999898</v>
      </c>
      <c r="G12" s="4">
        <v>-0.61838681699913201</v>
      </c>
      <c r="H12" s="6">
        <f>H13+Table1[[#This Row],[PnL ($)]]</f>
        <v>29501.999999999975</v>
      </c>
      <c r="I12" s="2">
        <v>1.92166666666666</v>
      </c>
      <c r="J12" s="2">
        <v>3.11</v>
      </c>
      <c r="K12" s="5">
        <v>6</v>
      </c>
      <c r="L12">
        <v>1</v>
      </c>
    </row>
    <row r="13" spans="1:12" x14ac:dyDescent="0.4">
      <c r="A13" t="s">
        <v>24</v>
      </c>
      <c r="B13" s="1">
        <v>45544</v>
      </c>
      <c r="C13" s="1">
        <v>45544</v>
      </c>
      <c r="D13" t="s">
        <v>15</v>
      </c>
      <c r="E13" t="s">
        <v>13</v>
      </c>
      <c r="F13" s="3">
        <v>204</v>
      </c>
      <c r="G13" s="4">
        <v>0.53125</v>
      </c>
      <c r="H13" s="6">
        <f>H14+Table1[[#This Row],[PnL ($)]]</f>
        <v>30214.999999999975</v>
      </c>
      <c r="I13" s="2">
        <v>0.64</v>
      </c>
      <c r="J13" s="2">
        <v>0.3</v>
      </c>
      <c r="K13" s="5">
        <v>6</v>
      </c>
      <c r="L13">
        <v>0</v>
      </c>
    </row>
    <row r="14" spans="1:12" x14ac:dyDescent="0.4">
      <c r="A14" t="s">
        <v>25</v>
      </c>
      <c r="B14" s="1">
        <v>45541</v>
      </c>
      <c r="C14" s="1">
        <v>45544</v>
      </c>
      <c r="D14" t="s">
        <v>17</v>
      </c>
      <c r="E14" t="s">
        <v>13</v>
      </c>
      <c r="F14" s="3">
        <v>-936</v>
      </c>
      <c r="G14" s="4">
        <v>-1.19999999999999</v>
      </c>
      <c r="H14" s="6">
        <f>H15+Table1[[#This Row],[PnL ($)]]</f>
        <v>30010.999999999975</v>
      </c>
      <c r="I14" s="2">
        <v>1.3</v>
      </c>
      <c r="J14" s="2">
        <v>2.86</v>
      </c>
      <c r="K14" s="5">
        <v>6</v>
      </c>
      <c r="L14">
        <v>3</v>
      </c>
    </row>
    <row r="15" spans="1:12" x14ac:dyDescent="0.4">
      <c r="A15" t="s">
        <v>26</v>
      </c>
      <c r="B15" s="1">
        <v>45541</v>
      </c>
      <c r="C15" s="1">
        <v>45541</v>
      </c>
      <c r="D15" t="s">
        <v>15</v>
      </c>
      <c r="E15" t="s">
        <v>13</v>
      </c>
      <c r="F15" s="3">
        <v>480</v>
      </c>
      <c r="G15" s="4">
        <v>0.56338028169013998</v>
      </c>
      <c r="H15" s="6">
        <f>H16+Table1[[#This Row],[PnL ($)]]</f>
        <v>30946.999999999975</v>
      </c>
      <c r="I15" s="2">
        <v>1.42</v>
      </c>
      <c r="J15" s="2">
        <v>0.62</v>
      </c>
      <c r="K15" s="5">
        <v>6</v>
      </c>
      <c r="L15">
        <v>0</v>
      </c>
    </row>
    <row r="16" spans="1:12" x14ac:dyDescent="0.4">
      <c r="A16" t="s">
        <v>27</v>
      </c>
      <c r="B16" s="1">
        <v>45540</v>
      </c>
      <c r="C16" s="1">
        <v>45541</v>
      </c>
      <c r="D16" t="s">
        <v>15</v>
      </c>
      <c r="E16" t="s">
        <v>13</v>
      </c>
      <c r="F16" s="3">
        <v>732</v>
      </c>
      <c r="G16" s="4">
        <v>0.96062992125984203</v>
      </c>
      <c r="H16" s="6">
        <f>H17+Table1[[#This Row],[PnL ($)]]</f>
        <v>30466.999999999975</v>
      </c>
      <c r="I16" s="2">
        <v>1.27</v>
      </c>
      <c r="J16" s="2">
        <v>0.05</v>
      </c>
      <c r="K16" s="5">
        <v>6</v>
      </c>
      <c r="L16">
        <v>1</v>
      </c>
    </row>
    <row r="17" spans="1:12" x14ac:dyDescent="0.4">
      <c r="A17" t="s">
        <v>28</v>
      </c>
      <c r="B17" s="1">
        <v>45540</v>
      </c>
      <c r="C17" s="1">
        <v>45540</v>
      </c>
      <c r="D17" t="s">
        <v>15</v>
      </c>
      <c r="E17" t="s">
        <v>13</v>
      </c>
      <c r="F17" s="3">
        <v>752.99999999999898</v>
      </c>
      <c r="G17" s="4">
        <v>0.74925373134328299</v>
      </c>
      <c r="H17" s="6">
        <f>H18+Table1[[#This Row],[PnL ($)]]</f>
        <v>29734.999999999975</v>
      </c>
      <c r="I17" s="2">
        <v>1.6749999999999901</v>
      </c>
      <c r="J17" s="2">
        <v>0.42</v>
      </c>
      <c r="K17" s="5">
        <v>6</v>
      </c>
      <c r="L17">
        <v>0</v>
      </c>
    </row>
    <row r="18" spans="1:12" x14ac:dyDescent="0.4">
      <c r="A18" t="s">
        <v>29</v>
      </c>
      <c r="B18" s="1">
        <v>45538</v>
      </c>
      <c r="C18" s="1">
        <v>45540</v>
      </c>
      <c r="D18" t="s">
        <v>15</v>
      </c>
      <c r="E18" t="s">
        <v>13</v>
      </c>
      <c r="F18" s="3">
        <v>21</v>
      </c>
      <c r="G18" s="4">
        <v>1.3671875E-2</v>
      </c>
      <c r="H18" s="6">
        <f>H19+Table1[[#This Row],[PnL ($)]]</f>
        <v>28981.999999999975</v>
      </c>
      <c r="I18" s="2">
        <v>2.56</v>
      </c>
      <c r="J18" s="2">
        <v>2.5249999999999999</v>
      </c>
      <c r="K18" s="5">
        <v>6</v>
      </c>
      <c r="L18">
        <v>2</v>
      </c>
    </row>
    <row r="19" spans="1:12" x14ac:dyDescent="0.4">
      <c r="A19" t="s">
        <v>30</v>
      </c>
      <c r="B19" s="1">
        <v>45538</v>
      </c>
      <c r="C19" s="1">
        <v>45538</v>
      </c>
      <c r="D19" t="s">
        <v>15</v>
      </c>
      <c r="E19" t="s">
        <v>13</v>
      </c>
      <c r="F19" s="3">
        <v>540</v>
      </c>
      <c r="G19" s="4">
        <v>0.9</v>
      </c>
      <c r="H19" s="6">
        <f>H20+Table1[[#This Row],[PnL ($)]]</f>
        <v>28960.999999999975</v>
      </c>
      <c r="I19" s="2">
        <v>1</v>
      </c>
      <c r="J19" s="2">
        <v>0.1</v>
      </c>
      <c r="K19" s="5">
        <v>6</v>
      </c>
      <c r="L19">
        <v>0</v>
      </c>
    </row>
    <row r="20" spans="1:12" x14ac:dyDescent="0.4">
      <c r="A20" t="s">
        <v>31</v>
      </c>
      <c r="B20" s="1">
        <v>45534</v>
      </c>
      <c r="C20" s="1">
        <v>45538</v>
      </c>
      <c r="D20" t="s">
        <v>15</v>
      </c>
      <c r="E20" t="s">
        <v>13</v>
      </c>
      <c r="F20" s="3">
        <v>193.99999999999901</v>
      </c>
      <c r="G20" s="4">
        <v>0.38039215686274502</v>
      </c>
      <c r="H20" s="6">
        <f>H21+Table1[[#This Row],[PnL ($)]]</f>
        <v>28420.999999999975</v>
      </c>
      <c r="I20" s="2">
        <v>0.85</v>
      </c>
      <c r="J20" s="2">
        <v>0.52666666666666595</v>
      </c>
      <c r="K20" s="5">
        <v>6</v>
      </c>
      <c r="L20">
        <v>4</v>
      </c>
    </row>
    <row r="21" spans="1:12" x14ac:dyDescent="0.4">
      <c r="A21" t="s">
        <v>32</v>
      </c>
      <c r="B21" s="1">
        <v>45532</v>
      </c>
      <c r="C21" s="1">
        <v>45534</v>
      </c>
      <c r="D21" t="s">
        <v>17</v>
      </c>
      <c r="E21" t="s">
        <v>13</v>
      </c>
      <c r="F21" s="3">
        <v>-96</v>
      </c>
      <c r="G21" s="4">
        <v>-7.9601990049751298E-2</v>
      </c>
      <c r="H21" s="6">
        <f>H22+Table1[[#This Row],[PnL ($)]]</f>
        <v>28226.999999999975</v>
      </c>
      <c r="I21" s="2">
        <v>1.0049999999999999</v>
      </c>
      <c r="J21" s="2">
        <v>1.085</v>
      </c>
      <c r="K21" s="5">
        <v>12</v>
      </c>
      <c r="L21">
        <v>2</v>
      </c>
    </row>
    <row r="22" spans="1:12" x14ac:dyDescent="0.4">
      <c r="A22" t="s">
        <v>33</v>
      </c>
      <c r="B22" s="1">
        <v>45533</v>
      </c>
      <c r="C22" s="1">
        <v>45533</v>
      </c>
      <c r="D22" t="s">
        <v>15</v>
      </c>
      <c r="E22" t="s">
        <v>13</v>
      </c>
      <c r="F22" s="3">
        <v>594</v>
      </c>
      <c r="G22" s="4">
        <v>0.86842105263157898</v>
      </c>
      <c r="H22" s="6">
        <f>H23+Table1[[#This Row],[PnL ($)]]</f>
        <v>28322.999999999975</v>
      </c>
      <c r="I22" s="2">
        <v>1.1399999999999999</v>
      </c>
      <c r="J22" s="2">
        <v>0.15</v>
      </c>
      <c r="K22" s="5">
        <v>6</v>
      </c>
      <c r="L22">
        <v>0</v>
      </c>
    </row>
    <row r="23" spans="1:12" x14ac:dyDescent="0.4">
      <c r="A23" t="s">
        <v>34</v>
      </c>
      <c r="B23" s="1">
        <v>45532</v>
      </c>
      <c r="C23" s="1">
        <v>45532</v>
      </c>
      <c r="D23" t="s">
        <v>15</v>
      </c>
      <c r="E23" t="s">
        <v>13</v>
      </c>
      <c r="F23" s="3">
        <v>234</v>
      </c>
      <c r="G23" s="4">
        <v>0.31967213114754101</v>
      </c>
      <c r="H23" s="6">
        <f>H24+Table1[[#This Row],[PnL ($)]]</f>
        <v>27728.999999999975</v>
      </c>
      <c r="I23" s="2">
        <v>1.22</v>
      </c>
      <c r="J23" s="2">
        <v>0.83</v>
      </c>
      <c r="K23" s="5">
        <v>6</v>
      </c>
      <c r="L23">
        <v>0</v>
      </c>
    </row>
    <row r="24" spans="1:12" x14ac:dyDescent="0.4">
      <c r="A24" t="s">
        <v>35</v>
      </c>
      <c r="B24" s="1">
        <v>45530</v>
      </c>
      <c r="C24" s="1">
        <v>45532</v>
      </c>
      <c r="D24" t="s">
        <v>15</v>
      </c>
      <c r="E24" t="s">
        <v>13</v>
      </c>
      <c r="F24" s="3">
        <v>636</v>
      </c>
      <c r="G24" s="4">
        <v>0.63855421686746905</v>
      </c>
      <c r="H24" s="6">
        <f>H25+Table1[[#This Row],[PnL ($)]]</f>
        <v>27494.999999999975</v>
      </c>
      <c r="I24" s="2">
        <v>1.66</v>
      </c>
      <c r="J24" s="2">
        <v>0.6</v>
      </c>
      <c r="K24" s="5">
        <v>6</v>
      </c>
      <c r="L24">
        <v>2</v>
      </c>
    </row>
    <row r="25" spans="1:12" x14ac:dyDescent="0.4">
      <c r="A25" t="s">
        <v>36</v>
      </c>
      <c r="B25" s="1">
        <v>45527</v>
      </c>
      <c r="C25" s="1">
        <v>45530</v>
      </c>
      <c r="D25" t="s">
        <v>15</v>
      </c>
      <c r="E25" t="s">
        <v>13</v>
      </c>
      <c r="F25" s="3">
        <v>12</v>
      </c>
      <c r="G25" s="4">
        <v>7.4074074074074098E-2</v>
      </c>
      <c r="H25" s="6">
        <f>H26+Table1[[#This Row],[PnL ($)]]</f>
        <v>26858.999999999975</v>
      </c>
      <c r="I25" s="2">
        <v>0.27</v>
      </c>
      <c r="J25" s="2">
        <v>0.25</v>
      </c>
      <c r="K25" s="5">
        <v>6</v>
      </c>
      <c r="L25">
        <v>3</v>
      </c>
    </row>
    <row r="26" spans="1:12" x14ac:dyDescent="0.4">
      <c r="A26" t="s">
        <v>37</v>
      </c>
      <c r="B26" s="1">
        <v>45526</v>
      </c>
      <c r="C26" s="1">
        <v>45527</v>
      </c>
      <c r="D26" t="s">
        <v>352</v>
      </c>
      <c r="E26" t="s">
        <v>13</v>
      </c>
      <c r="F26" s="3">
        <v>0</v>
      </c>
      <c r="G26" s="4">
        <v>0</v>
      </c>
      <c r="H26" s="6">
        <f>H27+Table1[[#This Row],[PnL ($)]]</f>
        <v>26846.999999999975</v>
      </c>
      <c r="I26" s="2">
        <v>1.41</v>
      </c>
      <c r="J26" s="2">
        <v>1.41</v>
      </c>
      <c r="K26" s="5">
        <v>6</v>
      </c>
      <c r="L26">
        <v>1</v>
      </c>
    </row>
    <row r="27" spans="1:12" x14ac:dyDescent="0.4">
      <c r="A27" t="s">
        <v>38</v>
      </c>
      <c r="B27" s="1">
        <v>45525</v>
      </c>
      <c r="C27" s="1">
        <v>45526</v>
      </c>
      <c r="D27" t="s">
        <v>15</v>
      </c>
      <c r="E27" t="s">
        <v>13</v>
      </c>
      <c r="F27" s="3">
        <v>450</v>
      </c>
      <c r="G27" s="4">
        <v>0.765306122448979</v>
      </c>
      <c r="H27" s="6">
        <f>H28+Table1[[#This Row],[PnL ($)]]</f>
        <v>26846.999999999975</v>
      </c>
      <c r="I27" s="2">
        <v>0.98</v>
      </c>
      <c r="J27" s="2">
        <v>0.23</v>
      </c>
      <c r="K27" s="5">
        <v>6</v>
      </c>
      <c r="L27">
        <v>1</v>
      </c>
    </row>
    <row r="28" spans="1:12" x14ac:dyDescent="0.4">
      <c r="A28" t="s">
        <v>39</v>
      </c>
      <c r="B28" s="1">
        <v>45523</v>
      </c>
      <c r="C28" s="1">
        <v>45525</v>
      </c>
      <c r="D28" t="s">
        <v>17</v>
      </c>
      <c r="E28" t="s">
        <v>13</v>
      </c>
      <c r="F28" s="3">
        <v>-828</v>
      </c>
      <c r="G28" s="4">
        <v>-1.97142857142857</v>
      </c>
      <c r="H28" s="6">
        <f>H29+Table1[[#This Row],[PnL ($)]]</f>
        <v>26396.999999999975</v>
      </c>
      <c r="I28" s="2">
        <v>0.7</v>
      </c>
      <c r="J28" s="2">
        <v>2.08</v>
      </c>
      <c r="K28" s="5">
        <v>6</v>
      </c>
      <c r="L28">
        <v>2</v>
      </c>
    </row>
    <row r="29" spans="1:12" x14ac:dyDescent="0.4">
      <c r="A29" t="s">
        <v>40</v>
      </c>
      <c r="B29" s="1">
        <v>45517</v>
      </c>
      <c r="C29" s="1">
        <v>45517</v>
      </c>
      <c r="D29" t="s">
        <v>17</v>
      </c>
      <c r="E29" t="s">
        <v>13</v>
      </c>
      <c r="F29" s="3">
        <v>-624</v>
      </c>
      <c r="G29" s="4">
        <v>-0.43514644351464399</v>
      </c>
      <c r="H29" s="6">
        <f>H30+Table1[[#This Row],[PnL ($)]]</f>
        <v>27224.999999999975</v>
      </c>
      <c r="I29" s="2">
        <v>2.39</v>
      </c>
      <c r="J29" s="2">
        <v>3.43</v>
      </c>
      <c r="K29" s="5">
        <v>6</v>
      </c>
      <c r="L29">
        <v>0</v>
      </c>
    </row>
    <row r="30" spans="1:12" x14ac:dyDescent="0.4">
      <c r="A30" t="s">
        <v>41</v>
      </c>
      <c r="B30" s="1">
        <v>45516</v>
      </c>
      <c r="C30" s="1">
        <v>45517</v>
      </c>
      <c r="D30" t="s">
        <v>17</v>
      </c>
      <c r="E30" t="s">
        <v>13</v>
      </c>
      <c r="F30" s="3">
        <v>-887.99999999999898</v>
      </c>
      <c r="G30" s="4">
        <v>-0.35238095238095202</v>
      </c>
      <c r="H30" s="6">
        <f>H31+Table1[[#This Row],[PnL ($)]]</f>
        <v>27848.999999999975</v>
      </c>
      <c r="I30" s="2">
        <v>4.2</v>
      </c>
      <c r="J30" s="2">
        <v>5.68</v>
      </c>
      <c r="K30" s="5">
        <v>6</v>
      </c>
      <c r="L30">
        <v>1</v>
      </c>
    </row>
    <row r="31" spans="1:12" x14ac:dyDescent="0.4">
      <c r="A31" t="s">
        <v>42</v>
      </c>
      <c r="B31" s="1">
        <v>45512</v>
      </c>
      <c r="C31" s="1">
        <v>45516</v>
      </c>
      <c r="D31" t="s">
        <v>15</v>
      </c>
      <c r="E31" t="s">
        <v>13</v>
      </c>
      <c r="F31" s="3">
        <v>19.000000000000298</v>
      </c>
      <c r="G31" s="4">
        <v>8.7922258213791304E-3</v>
      </c>
      <c r="H31" s="6">
        <f>H32+Table1[[#This Row],[PnL ($)]]</f>
        <v>28736.999999999975</v>
      </c>
      <c r="I31" s="2">
        <v>3.6016666666666599</v>
      </c>
      <c r="J31" s="2">
        <v>3.57</v>
      </c>
      <c r="K31" s="5">
        <v>6</v>
      </c>
      <c r="L31">
        <v>4</v>
      </c>
    </row>
    <row r="32" spans="1:12" x14ac:dyDescent="0.4">
      <c r="A32" t="s">
        <v>43</v>
      </c>
      <c r="B32" s="1">
        <v>45512</v>
      </c>
      <c r="C32" s="1">
        <v>45512</v>
      </c>
      <c r="D32" t="s">
        <v>17</v>
      </c>
      <c r="E32" t="s">
        <v>13</v>
      </c>
      <c r="F32" s="3">
        <v>-403</v>
      </c>
      <c r="G32" s="4">
        <v>-0.14475574712643599</v>
      </c>
      <c r="H32" s="6">
        <f>H33+Table1[[#This Row],[PnL ($)]]</f>
        <v>28717.999999999975</v>
      </c>
      <c r="I32" s="2">
        <v>4.6399999999999997</v>
      </c>
      <c r="J32" s="2">
        <v>5.3116666666666603</v>
      </c>
      <c r="K32" s="5">
        <v>6</v>
      </c>
      <c r="L32">
        <v>0</v>
      </c>
    </row>
    <row r="33" spans="1:12" x14ac:dyDescent="0.4">
      <c r="A33" t="s">
        <v>44</v>
      </c>
      <c r="B33" s="1">
        <v>45511</v>
      </c>
      <c r="C33" s="1">
        <v>45512</v>
      </c>
      <c r="D33" t="s">
        <v>17</v>
      </c>
      <c r="E33" t="s">
        <v>13</v>
      </c>
      <c r="F33" s="3">
        <v>-1606.99999999999</v>
      </c>
      <c r="G33" s="4">
        <v>-0.37661120224982397</v>
      </c>
      <c r="H33" s="6">
        <f>H34+Table1[[#This Row],[PnL ($)]]</f>
        <v>29120.999999999975</v>
      </c>
      <c r="I33" s="2">
        <v>7.1116666666666601</v>
      </c>
      <c r="J33" s="2">
        <v>9.7899999999999991</v>
      </c>
      <c r="K33" s="5">
        <v>6</v>
      </c>
      <c r="L33">
        <v>1</v>
      </c>
    </row>
    <row r="34" spans="1:12" x14ac:dyDescent="0.4">
      <c r="A34" t="s">
        <v>45</v>
      </c>
      <c r="B34" s="1">
        <v>45511</v>
      </c>
      <c r="C34" s="1">
        <v>45511</v>
      </c>
      <c r="D34" t="s">
        <v>15</v>
      </c>
      <c r="E34" t="s">
        <v>13</v>
      </c>
      <c r="F34" s="3">
        <v>827</v>
      </c>
      <c r="G34" s="4">
        <v>0.46408529741863003</v>
      </c>
      <c r="H34" s="6">
        <f>H35+Table1[[#This Row],[PnL ($)]]</f>
        <v>30727.999999999964</v>
      </c>
      <c r="I34" s="2">
        <v>2.97</v>
      </c>
      <c r="J34" s="2">
        <v>1.5916666666666599</v>
      </c>
      <c r="K34" s="5">
        <v>6</v>
      </c>
      <c r="L34">
        <v>0</v>
      </c>
    </row>
    <row r="35" spans="1:12" x14ac:dyDescent="0.4">
      <c r="A35" t="s">
        <v>46</v>
      </c>
      <c r="B35" s="1">
        <v>45510</v>
      </c>
      <c r="C35" s="1">
        <v>45511</v>
      </c>
      <c r="D35" t="s">
        <v>17</v>
      </c>
      <c r="E35" t="s">
        <v>13</v>
      </c>
      <c r="F35" s="3">
        <v>-1578</v>
      </c>
      <c r="G35" s="4">
        <v>-0.45034246575342401</v>
      </c>
      <c r="H35" s="6">
        <f>H36+Table1[[#This Row],[PnL ($)]]</f>
        <v>29900.999999999964</v>
      </c>
      <c r="I35" s="2">
        <v>5.84</v>
      </c>
      <c r="J35" s="2">
        <v>8.4700000000000006</v>
      </c>
      <c r="K35" s="5">
        <v>6</v>
      </c>
      <c r="L35">
        <v>1</v>
      </c>
    </row>
    <row r="36" spans="1:12" x14ac:dyDescent="0.4">
      <c r="A36" t="s">
        <v>47</v>
      </c>
      <c r="B36" s="1">
        <v>45510</v>
      </c>
      <c r="C36" s="1">
        <v>45510</v>
      </c>
      <c r="D36" t="s">
        <v>15</v>
      </c>
      <c r="E36" t="s">
        <v>13</v>
      </c>
      <c r="F36" s="3">
        <v>822</v>
      </c>
      <c r="G36" s="4">
        <v>0.248638838475499</v>
      </c>
      <c r="H36" s="6">
        <f>H37+Table1[[#This Row],[PnL ($)]]</f>
        <v>31478.999999999964</v>
      </c>
      <c r="I36" s="2">
        <v>5.51</v>
      </c>
      <c r="J36" s="2">
        <v>4.1399999999999997</v>
      </c>
      <c r="K36" s="5">
        <v>6</v>
      </c>
      <c r="L36">
        <v>0</v>
      </c>
    </row>
    <row r="37" spans="1:12" x14ac:dyDescent="0.4">
      <c r="A37" t="s">
        <v>48</v>
      </c>
      <c r="B37" s="1">
        <v>45510</v>
      </c>
      <c r="C37" s="1">
        <v>45510</v>
      </c>
      <c r="D37" t="s">
        <v>17</v>
      </c>
      <c r="E37" t="s">
        <v>13</v>
      </c>
      <c r="F37" s="3">
        <v>-455.99999999999898</v>
      </c>
      <c r="G37" s="4">
        <v>-0.11014492753623099</v>
      </c>
      <c r="H37" s="6">
        <f>H38+Table1[[#This Row],[PnL ($)]]</f>
        <v>30656.999999999964</v>
      </c>
      <c r="I37" s="2">
        <v>6.9</v>
      </c>
      <c r="J37" s="2">
        <v>7.66</v>
      </c>
      <c r="K37" s="5">
        <v>6</v>
      </c>
      <c r="L37">
        <v>0</v>
      </c>
    </row>
    <row r="38" spans="1:12" x14ac:dyDescent="0.4">
      <c r="A38" t="s">
        <v>49</v>
      </c>
      <c r="B38" s="1">
        <v>45509</v>
      </c>
      <c r="C38" s="1">
        <v>45510</v>
      </c>
      <c r="D38" t="s">
        <v>17</v>
      </c>
      <c r="E38" t="s">
        <v>13</v>
      </c>
      <c r="F38" s="3">
        <v>-2027</v>
      </c>
      <c r="G38" s="4">
        <v>-0.165753536675116</v>
      </c>
      <c r="H38" s="6">
        <f>H39+Table1[[#This Row],[PnL ($)]]</f>
        <v>31112.999999999964</v>
      </c>
      <c r="I38" s="2">
        <v>10.1908333333333</v>
      </c>
      <c r="J38" s="2">
        <v>11.88</v>
      </c>
      <c r="K38" s="5">
        <v>12</v>
      </c>
      <c r="L38">
        <v>1</v>
      </c>
    </row>
    <row r="39" spans="1:12" x14ac:dyDescent="0.4">
      <c r="A39" t="s">
        <v>50</v>
      </c>
      <c r="B39" s="1">
        <v>45509</v>
      </c>
      <c r="C39" s="1">
        <v>45509</v>
      </c>
      <c r="D39" t="s">
        <v>15</v>
      </c>
      <c r="E39" t="s">
        <v>13</v>
      </c>
      <c r="F39" s="3">
        <v>366</v>
      </c>
      <c r="G39" s="4">
        <v>7.7215189873417703E-2</v>
      </c>
      <c r="H39" s="6">
        <f>H40+Table1[[#This Row],[PnL ($)]]</f>
        <v>33139.999999999964</v>
      </c>
      <c r="I39" s="2">
        <v>7.9</v>
      </c>
      <c r="J39" s="2">
        <v>7.29</v>
      </c>
      <c r="K39" s="5">
        <v>6</v>
      </c>
      <c r="L39">
        <v>0</v>
      </c>
    </row>
    <row r="40" spans="1:12" x14ac:dyDescent="0.4">
      <c r="A40" t="s">
        <v>51</v>
      </c>
      <c r="B40" s="1">
        <v>45506</v>
      </c>
      <c r="C40" s="1">
        <v>45509</v>
      </c>
      <c r="D40" t="s">
        <v>15</v>
      </c>
      <c r="E40" t="s">
        <v>13</v>
      </c>
      <c r="F40" s="3">
        <v>3039</v>
      </c>
      <c r="G40" s="4">
        <v>0.62300123001230001</v>
      </c>
      <c r="H40" s="6">
        <f>H41+Table1[[#This Row],[PnL ($)]]</f>
        <v>32773.999999999964</v>
      </c>
      <c r="I40" s="2">
        <v>8.1300000000000008</v>
      </c>
      <c r="J40" s="2">
        <v>3.0649999999999999</v>
      </c>
      <c r="K40" s="5">
        <v>6</v>
      </c>
      <c r="L40">
        <v>3</v>
      </c>
    </row>
    <row r="41" spans="1:12" x14ac:dyDescent="0.4">
      <c r="A41" t="s">
        <v>40</v>
      </c>
      <c r="B41" s="1">
        <v>45505</v>
      </c>
      <c r="C41" s="1">
        <v>45506</v>
      </c>
      <c r="D41" t="s">
        <v>15</v>
      </c>
      <c r="E41" t="s">
        <v>13</v>
      </c>
      <c r="F41" s="3">
        <v>1968</v>
      </c>
      <c r="G41" s="4">
        <v>0.451790633608815</v>
      </c>
      <c r="H41" s="6">
        <f>H42+Table1[[#This Row],[PnL ($)]]</f>
        <v>29734.999999999964</v>
      </c>
      <c r="I41" s="2">
        <v>7.26</v>
      </c>
      <c r="J41" s="2">
        <v>3.98</v>
      </c>
      <c r="K41" s="5">
        <v>6</v>
      </c>
      <c r="L41">
        <v>1</v>
      </c>
    </row>
    <row r="42" spans="1:12" x14ac:dyDescent="0.4">
      <c r="A42" t="s">
        <v>52</v>
      </c>
      <c r="B42" s="1">
        <v>45504</v>
      </c>
      <c r="C42" s="1">
        <v>45505</v>
      </c>
      <c r="D42" t="s">
        <v>15</v>
      </c>
      <c r="E42" t="s">
        <v>13</v>
      </c>
      <c r="F42" s="3">
        <v>1337.99999999999</v>
      </c>
      <c r="G42" s="4">
        <v>0.53734939759036104</v>
      </c>
      <c r="H42" s="6">
        <f>H43+Table1[[#This Row],[PnL ($)]]</f>
        <v>27766.999999999964</v>
      </c>
      <c r="I42" s="2">
        <v>4.1499999999999897</v>
      </c>
      <c r="J42" s="2">
        <v>1.92</v>
      </c>
      <c r="K42" s="5">
        <v>6</v>
      </c>
      <c r="L42">
        <v>1</v>
      </c>
    </row>
    <row r="43" spans="1:12" x14ac:dyDescent="0.4">
      <c r="A43" t="s">
        <v>54</v>
      </c>
      <c r="B43" s="1">
        <v>45504</v>
      </c>
      <c r="C43" s="1">
        <v>45504</v>
      </c>
      <c r="D43" t="s">
        <v>15</v>
      </c>
      <c r="E43" t="s">
        <v>13</v>
      </c>
      <c r="F43" s="3">
        <v>294</v>
      </c>
      <c r="G43" s="4">
        <v>0.11011235955056101</v>
      </c>
      <c r="H43" s="6">
        <f>H44+Table1[[#This Row],[PnL ($)]]</f>
        <v>26428.999999999975</v>
      </c>
      <c r="I43" s="2">
        <v>4.45</v>
      </c>
      <c r="J43" s="2">
        <v>3.96</v>
      </c>
      <c r="K43" s="5">
        <v>6</v>
      </c>
      <c r="L43">
        <v>0</v>
      </c>
    </row>
    <row r="44" spans="1:12" x14ac:dyDescent="0.4">
      <c r="A44" t="s">
        <v>53</v>
      </c>
      <c r="B44" s="1">
        <v>45504</v>
      </c>
      <c r="C44" s="1">
        <v>45504</v>
      </c>
      <c r="D44" t="s">
        <v>17</v>
      </c>
      <c r="E44" t="s">
        <v>13</v>
      </c>
      <c r="F44" s="3">
        <v>-803.99999999999898</v>
      </c>
      <c r="G44" s="4">
        <v>-0.46527777777777701</v>
      </c>
      <c r="H44" s="6">
        <f>H45+Table1[[#This Row],[PnL ($)]]</f>
        <v>26134.999999999975</v>
      </c>
      <c r="I44" s="2">
        <v>2.88</v>
      </c>
      <c r="J44" s="2">
        <v>4.22</v>
      </c>
      <c r="K44" s="5">
        <v>6</v>
      </c>
      <c r="L44">
        <v>0</v>
      </c>
    </row>
    <row r="45" spans="1:12" x14ac:dyDescent="0.4">
      <c r="A45" t="s">
        <v>55</v>
      </c>
      <c r="B45" s="1">
        <v>45503</v>
      </c>
      <c r="C45" s="1">
        <v>45504</v>
      </c>
      <c r="D45" t="s">
        <v>17</v>
      </c>
      <c r="E45" t="s">
        <v>13</v>
      </c>
      <c r="F45" s="3">
        <v>-1823.99999999999</v>
      </c>
      <c r="G45" s="4">
        <v>-0.85393258426966201</v>
      </c>
      <c r="H45" s="6">
        <f>H46+Table1[[#This Row],[PnL ($)]]</f>
        <v>26938.999999999975</v>
      </c>
      <c r="I45" s="2">
        <v>3.56</v>
      </c>
      <c r="J45" s="2">
        <v>6.6</v>
      </c>
      <c r="K45" s="5">
        <v>6</v>
      </c>
      <c r="L45">
        <v>1</v>
      </c>
    </row>
    <row r="46" spans="1:12" x14ac:dyDescent="0.4">
      <c r="A46" t="s">
        <v>56</v>
      </c>
      <c r="B46" s="1">
        <v>45502</v>
      </c>
      <c r="C46" s="1">
        <v>45503</v>
      </c>
      <c r="D46" t="s">
        <v>15</v>
      </c>
      <c r="E46" t="s">
        <v>13</v>
      </c>
      <c r="F46" s="3">
        <v>834</v>
      </c>
      <c r="G46" s="4">
        <v>0.38397790055248598</v>
      </c>
      <c r="H46" s="6">
        <f>H47+Table1[[#This Row],[PnL ($)]]</f>
        <v>28762.999999999964</v>
      </c>
      <c r="I46" s="2">
        <v>3.62</v>
      </c>
      <c r="J46" s="2">
        <v>2.23</v>
      </c>
      <c r="K46" s="5">
        <v>6</v>
      </c>
      <c r="L46">
        <v>1</v>
      </c>
    </row>
    <row r="47" spans="1:12" x14ac:dyDescent="0.4">
      <c r="A47" t="s">
        <v>57</v>
      </c>
      <c r="B47" s="1">
        <v>45499</v>
      </c>
      <c r="C47" s="1">
        <v>45502</v>
      </c>
      <c r="D47" t="s">
        <v>17</v>
      </c>
      <c r="E47" t="s">
        <v>13</v>
      </c>
      <c r="F47" s="3">
        <v>-186</v>
      </c>
      <c r="G47" s="4">
        <v>-6.3917525773195899E-2</v>
      </c>
      <c r="H47" s="6">
        <f>H48+Table1[[#This Row],[PnL ($)]]</f>
        <v>27928.999999999964</v>
      </c>
      <c r="I47" s="2">
        <v>4.8499999999999996</v>
      </c>
      <c r="J47" s="2">
        <v>5.16</v>
      </c>
      <c r="K47" s="5">
        <v>6</v>
      </c>
      <c r="L47">
        <v>3</v>
      </c>
    </row>
    <row r="48" spans="1:12" x14ac:dyDescent="0.4">
      <c r="A48" t="s">
        <v>58</v>
      </c>
      <c r="B48" s="1">
        <v>45499</v>
      </c>
      <c r="C48" s="1">
        <v>45499</v>
      </c>
      <c r="D48" t="s">
        <v>17</v>
      </c>
      <c r="E48" t="s">
        <v>13</v>
      </c>
      <c r="F48" s="3">
        <v>-372</v>
      </c>
      <c r="G48" s="4">
        <v>-0.118773946360153</v>
      </c>
      <c r="H48" s="6">
        <f>H49+Table1[[#This Row],[PnL ($)]]</f>
        <v>28114.999999999964</v>
      </c>
      <c r="I48" s="2">
        <v>5.22</v>
      </c>
      <c r="J48" s="2">
        <v>5.84</v>
      </c>
      <c r="K48" s="5">
        <v>6</v>
      </c>
      <c r="L48">
        <v>0</v>
      </c>
    </row>
    <row r="49" spans="1:12" x14ac:dyDescent="0.4">
      <c r="A49" t="s">
        <v>59</v>
      </c>
      <c r="B49" s="1">
        <v>45497</v>
      </c>
      <c r="C49" s="1">
        <v>45499</v>
      </c>
      <c r="D49" t="s">
        <v>15</v>
      </c>
      <c r="E49" t="s">
        <v>13</v>
      </c>
      <c r="F49" s="3">
        <v>876</v>
      </c>
      <c r="G49" s="4">
        <v>0.30672268907563</v>
      </c>
      <c r="H49" s="6">
        <f>H50+Table1[[#This Row],[PnL ($)]]</f>
        <v>28486.999999999964</v>
      </c>
      <c r="I49" s="2">
        <v>4.76</v>
      </c>
      <c r="J49" s="2">
        <v>3.3</v>
      </c>
      <c r="K49" s="5">
        <v>6</v>
      </c>
      <c r="L49">
        <v>2</v>
      </c>
    </row>
    <row r="50" spans="1:12" x14ac:dyDescent="0.4">
      <c r="A50" t="s">
        <v>60</v>
      </c>
      <c r="B50" s="1">
        <v>45495</v>
      </c>
      <c r="C50" s="1">
        <v>45497</v>
      </c>
      <c r="D50" t="s">
        <v>15</v>
      </c>
      <c r="E50" t="s">
        <v>13</v>
      </c>
      <c r="F50" s="3">
        <v>995.99999999999898</v>
      </c>
      <c r="G50" s="4">
        <v>0.76497695852534497</v>
      </c>
      <c r="H50" s="6">
        <f>H51+Table1[[#This Row],[PnL ($)]]</f>
        <v>27610.999999999964</v>
      </c>
      <c r="I50" s="2">
        <v>2.17</v>
      </c>
      <c r="J50" s="2">
        <v>0.51</v>
      </c>
      <c r="K50" s="5">
        <v>6</v>
      </c>
      <c r="L50">
        <v>2</v>
      </c>
    </row>
    <row r="51" spans="1:12" x14ac:dyDescent="0.4">
      <c r="A51" t="s">
        <v>61</v>
      </c>
      <c r="B51" s="1">
        <v>45495</v>
      </c>
      <c r="C51" s="1">
        <v>45495</v>
      </c>
      <c r="D51" t="s">
        <v>17</v>
      </c>
      <c r="E51" t="s">
        <v>13</v>
      </c>
      <c r="F51" s="3">
        <v>-341.99999999999898</v>
      </c>
      <c r="G51" s="4">
        <v>-0.211111111111111</v>
      </c>
      <c r="H51" s="6">
        <f>H52+Table1[[#This Row],[PnL ($)]]</f>
        <v>26614.999999999964</v>
      </c>
      <c r="I51" s="2">
        <v>2.7</v>
      </c>
      <c r="J51" s="2">
        <v>3.27</v>
      </c>
      <c r="K51" s="5">
        <v>6</v>
      </c>
      <c r="L51">
        <v>0</v>
      </c>
    </row>
    <row r="52" spans="1:12" x14ac:dyDescent="0.4">
      <c r="A52" t="s">
        <v>62</v>
      </c>
      <c r="B52" s="1">
        <v>45492</v>
      </c>
      <c r="C52" s="1">
        <v>45495</v>
      </c>
      <c r="D52" t="s">
        <v>17</v>
      </c>
      <c r="E52" t="s">
        <v>13</v>
      </c>
      <c r="F52" s="3">
        <v>-876</v>
      </c>
      <c r="G52" s="4">
        <v>-0.42318840579710099</v>
      </c>
      <c r="H52" s="6">
        <f>H53+Table1[[#This Row],[PnL ($)]]</f>
        <v>26956.999999999964</v>
      </c>
      <c r="I52" s="2">
        <v>3.45</v>
      </c>
      <c r="J52" s="2">
        <v>4.91</v>
      </c>
      <c r="K52" s="5">
        <v>6</v>
      </c>
      <c r="L52">
        <v>3</v>
      </c>
    </row>
    <row r="53" spans="1:12" x14ac:dyDescent="0.4">
      <c r="A53" t="s">
        <v>63</v>
      </c>
      <c r="B53" s="1">
        <v>45492</v>
      </c>
      <c r="C53" s="1">
        <v>45492</v>
      </c>
      <c r="D53" t="s">
        <v>15</v>
      </c>
      <c r="E53" t="s">
        <v>13</v>
      </c>
      <c r="F53" s="3">
        <v>516</v>
      </c>
      <c r="G53" s="4">
        <v>0.16538461538461499</v>
      </c>
      <c r="H53" s="6">
        <f>H54+Table1[[#This Row],[PnL ($)]]</f>
        <v>27832.999999999964</v>
      </c>
      <c r="I53" s="2">
        <v>5.2</v>
      </c>
      <c r="J53" s="2">
        <v>4.34</v>
      </c>
      <c r="K53" s="5">
        <v>6</v>
      </c>
      <c r="L53">
        <v>0</v>
      </c>
    </row>
    <row r="54" spans="1:12" x14ac:dyDescent="0.4">
      <c r="A54" t="s">
        <v>64</v>
      </c>
      <c r="B54" s="1">
        <v>45491</v>
      </c>
      <c r="C54" s="1">
        <v>45492</v>
      </c>
      <c r="D54" t="s">
        <v>15</v>
      </c>
      <c r="E54" t="s">
        <v>13</v>
      </c>
      <c r="F54" s="3">
        <v>618</v>
      </c>
      <c r="G54" s="4">
        <v>0.41199999999999998</v>
      </c>
      <c r="H54" s="6">
        <f>H55+Table1[[#This Row],[PnL ($)]]</f>
        <v>27316.999999999964</v>
      </c>
      <c r="I54" s="2">
        <v>2.5</v>
      </c>
      <c r="J54" s="2">
        <v>1.47</v>
      </c>
      <c r="K54" s="5">
        <v>6</v>
      </c>
      <c r="L54">
        <v>1</v>
      </c>
    </row>
    <row r="55" spans="1:12" x14ac:dyDescent="0.4">
      <c r="A55" t="s">
        <v>66</v>
      </c>
      <c r="B55" s="1">
        <v>45491</v>
      </c>
      <c r="C55" s="1">
        <v>45491</v>
      </c>
      <c r="D55" t="s">
        <v>15</v>
      </c>
      <c r="E55" t="s">
        <v>13</v>
      </c>
      <c r="F55" s="3">
        <v>473.99999999999898</v>
      </c>
      <c r="G55" s="4">
        <v>0.29151291512915101</v>
      </c>
      <c r="H55" s="6">
        <f>H56+Table1[[#This Row],[PnL ($)]]</f>
        <v>26698.999999999964</v>
      </c>
      <c r="I55" s="2">
        <v>2.7099999999999902</v>
      </c>
      <c r="J55" s="2">
        <v>1.92</v>
      </c>
      <c r="K55" s="5">
        <v>6</v>
      </c>
      <c r="L55">
        <v>0</v>
      </c>
    </row>
    <row r="56" spans="1:12" x14ac:dyDescent="0.4">
      <c r="A56" t="s">
        <v>67</v>
      </c>
      <c r="B56" s="1">
        <v>45491</v>
      </c>
      <c r="C56" s="1">
        <v>45491</v>
      </c>
      <c r="D56" t="s">
        <v>15</v>
      </c>
      <c r="E56" t="s">
        <v>13</v>
      </c>
      <c r="F56" s="3">
        <v>630</v>
      </c>
      <c r="G56" s="4">
        <v>0.52500000000000002</v>
      </c>
      <c r="H56" s="6">
        <f>H57+Table1[[#This Row],[PnL ($)]]</f>
        <v>26224.999999999964</v>
      </c>
      <c r="I56" s="2">
        <v>2</v>
      </c>
      <c r="J56" s="2">
        <v>0.94999999999999896</v>
      </c>
      <c r="K56" s="5">
        <v>6</v>
      </c>
      <c r="L56">
        <v>0</v>
      </c>
    </row>
    <row r="57" spans="1:12" x14ac:dyDescent="0.4">
      <c r="A57" t="s">
        <v>65</v>
      </c>
      <c r="B57" s="1">
        <v>45491</v>
      </c>
      <c r="C57" s="1">
        <v>45491</v>
      </c>
      <c r="D57" t="s">
        <v>17</v>
      </c>
      <c r="E57" t="s">
        <v>13</v>
      </c>
      <c r="F57" s="3">
        <v>-191.99999999999901</v>
      </c>
      <c r="G57" s="4">
        <v>-0.103896103896103</v>
      </c>
      <c r="H57" s="6">
        <f>H58+Table1[[#This Row],[PnL ($)]]</f>
        <v>25594.999999999964</v>
      </c>
      <c r="I57" s="2">
        <v>3.08</v>
      </c>
      <c r="J57" s="2">
        <v>3.4</v>
      </c>
      <c r="K57" s="5">
        <v>6</v>
      </c>
      <c r="L57">
        <v>0</v>
      </c>
    </row>
    <row r="58" spans="1:12" x14ac:dyDescent="0.4">
      <c r="A58" t="s">
        <v>68</v>
      </c>
      <c r="B58" s="1">
        <v>45490</v>
      </c>
      <c r="C58" s="1">
        <v>45491</v>
      </c>
      <c r="D58" t="s">
        <v>17</v>
      </c>
      <c r="E58" t="s">
        <v>13</v>
      </c>
      <c r="F58" s="3">
        <v>-178.99999999999901</v>
      </c>
      <c r="G58" s="4">
        <v>-0.11925383077948</v>
      </c>
      <c r="H58" s="6">
        <f>H59+Table1[[#This Row],[PnL ($)]]</f>
        <v>25786.999999999964</v>
      </c>
      <c r="I58" s="2">
        <v>2.5016666666666598</v>
      </c>
      <c r="J58" s="2">
        <v>2.7999999999999901</v>
      </c>
      <c r="K58" s="5">
        <v>6</v>
      </c>
      <c r="L58">
        <v>1</v>
      </c>
    </row>
    <row r="59" spans="1:12" x14ac:dyDescent="0.4">
      <c r="A59" t="s">
        <v>67</v>
      </c>
      <c r="B59" s="1">
        <v>45490</v>
      </c>
      <c r="C59" s="1">
        <v>45490</v>
      </c>
      <c r="D59" t="s">
        <v>15</v>
      </c>
      <c r="E59" t="s">
        <v>13</v>
      </c>
      <c r="F59" s="3">
        <v>323</v>
      </c>
      <c r="G59" s="4">
        <v>0.22810734463276799</v>
      </c>
      <c r="H59" s="6">
        <f>H60+Table1[[#This Row],[PnL ($)]]</f>
        <v>25965.999999999964</v>
      </c>
      <c r="I59" s="2">
        <v>2.36</v>
      </c>
      <c r="J59" s="2">
        <v>1.8216666666666601</v>
      </c>
      <c r="K59" s="5">
        <v>6</v>
      </c>
      <c r="L59">
        <v>0</v>
      </c>
    </row>
    <row r="60" spans="1:12" x14ac:dyDescent="0.4">
      <c r="A60" t="s">
        <v>69</v>
      </c>
      <c r="B60" s="1">
        <v>45489</v>
      </c>
      <c r="C60" s="1">
        <v>45490</v>
      </c>
      <c r="D60" t="s">
        <v>15</v>
      </c>
      <c r="E60" t="s">
        <v>13</v>
      </c>
      <c r="F60" s="3">
        <v>636</v>
      </c>
      <c r="G60" s="4">
        <v>0.57608695652173902</v>
      </c>
      <c r="H60" s="6">
        <f>H61+Table1[[#This Row],[PnL ($)]]</f>
        <v>25642.999999999964</v>
      </c>
      <c r="I60" s="2">
        <v>1.84</v>
      </c>
      <c r="J60" s="2">
        <v>0.78</v>
      </c>
      <c r="K60" s="5">
        <v>6</v>
      </c>
      <c r="L60">
        <v>1</v>
      </c>
    </row>
    <row r="61" spans="1:12" x14ac:dyDescent="0.4">
      <c r="A61" t="s">
        <v>72</v>
      </c>
      <c r="B61" s="1">
        <v>45489</v>
      </c>
      <c r="C61" s="1">
        <v>45489</v>
      </c>
      <c r="D61" t="s">
        <v>17</v>
      </c>
      <c r="E61" t="s">
        <v>13</v>
      </c>
      <c r="F61" s="3">
        <v>-229</v>
      </c>
      <c r="G61" s="4">
        <v>-0.17440974866717401</v>
      </c>
      <c r="H61" s="6">
        <f>H62+Table1[[#This Row],[PnL ($)]]</f>
        <v>25006.999999999964</v>
      </c>
      <c r="I61" s="2">
        <v>2.1883333333333299</v>
      </c>
      <c r="J61" s="2">
        <v>2.57</v>
      </c>
      <c r="K61" s="5">
        <v>6</v>
      </c>
      <c r="L61">
        <v>0</v>
      </c>
    </row>
    <row r="62" spans="1:12" x14ac:dyDescent="0.4">
      <c r="A62" t="s">
        <v>74</v>
      </c>
      <c r="B62" s="1">
        <v>45488</v>
      </c>
      <c r="C62" s="1">
        <v>45489</v>
      </c>
      <c r="D62" t="s">
        <v>17</v>
      </c>
      <c r="E62" t="s">
        <v>13</v>
      </c>
      <c r="F62" s="3">
        <v>-46.999999999999602</v>
      </c>
      <c r="G62" s="4">
        <v>-2.6734926052331898E-2</v>
      </c>
      <c r="H62" s="6">
        <f>H63+Table1[[#This Row],[PnL ($)]]</f>
        <v>25235.999999999964</v>
      </c>
      <c r="I62" s="2">
        <v>2.93</v>
      </c>
      <c r="J62" s="2">
        <v>3.0083333333333302</v>
      </c>
      <c r="K62" s="5">
        <v>6</v>
      </c>
      <c r="L62">
        <v>1</v>
      </c>
    </row>
    <row r="63" spans="1:12" x14ac:dyDescent="0.4">
      <c r="A63" t="s">
        <v>70</v>
      </c>
      <c r="B63" s="1">
        <v>45478</v>
      </c>
      <c r="C63" s="1">
        <v>45489</v>
      </c>
      <c r="D63" t="s">
        <v>15</v>
      </c>
      <c r="E63" t="s">
        <v>71</v>
      </c>
      <c r="F63" s="3">
        <v>4221.99999999999</v>
      </c>
      <c r="G63" s="4">
        <v>8.7094644772670898E-2</v>
      </c>
      <c r="H63" s="6">
        <f>H64+Table1[[#This Row],[PnL ($)]]</f>
        <v>25282.999999999964</v>
      </c>
      <c r="I63" s="2">
        <v>80.793333333333294</v>
      </c>
      <c r="J63" s="2">
        <v>87.83</v>
      </c>
      <c r="K63" s="5">
        <v>6</v>
      </c>
      <c r="L63">
        <v>11</v>
      </c>
    </row>
    <row r="64" spans="1:12" x14ac:dyDescent="0.4">
      <c r="A64" t="s">
        <v>69</v>
      </c>
      <c r="B64" s="1">
        <v>45488</v>
      </c>
      <c r="C64" s="1">
        <v>45488</v>
      </c>
      <c r="D64" t="s">
        <v>15</v>
      </c>
      <c r="E64" t="s">
        <v>13</v>
      </c>
      <c r="F64" s="3">
        <v>359.99999999999898</v>
      </c>
      <c r="G64" s="4">
        <v>0.27649769585253398</v>
      </c>
      <c r="H64" s="6">
        <f>H65+Table1[[#This Row],[PnL ($)]]</f>
        <v>21060.999999999975</v>
      </c>
      <c r="I64" s="2">
        <v>2.17</v>
      </c>
      <c r="J64" s="2">
        <v>1.57</v>
      </c>
      <c r="K64" s="5">
        <v>6</v>
      </c>
      <c r="L64">
        <v>0</v>
      </c>
    </row>
    <row r="65" spans="1:12" x14ac:dyDescent="0.4">
      <c r="A65" t="s">
        <v>75</v>
      </c>
      <c r="B65" s="1">
        <v>45485</v>
      </c>
      <c r="C65" s="1">
        <v>45488</v>
      </c>
      <c r="D65" t="s">
        <v>17</v>
      </c>
      <c r="E65" t="s">
        <v>13</v>
      </c>
      <c r="F65" s="3">
        <v>-1181.99999999999</v>
      </c>
      <c r="G65" s="4">
        <v>-1.4592592592592499</v>
      </c>
      <c r="H65" s="6">
        <f>H66+Table1[[#This Row],[PnL ($)]]</f>
        <v>20700.999999999975</v>
      </c>
      <c r="I65" s="2">
        <v>1.35</v>
      </c>
      <c r="J65" s="2">
        <v>3.3199999999999901</v>
      </c>
      <c r="K65" s="5">
        <v>6</v>
      </c>
      <c r="L65">
        <v>3</v>
      </c>
    </row>
    <row r="66" spans="1:12" x14ac:dyDescent="0.4">
      <c r="A66" t="s">
        <v>76</v>
      </c>
      <c r="B66" s="1">
        <v>45484</v>
      </c>
      <c r="C66" s="1">
        <v>45485</v>
      </c>
      <c r="D66" t="s">
        <v>17</v>
      </c>
      <c r="E66" t="s">
        <v>13</v>
      </c>
      <c r="F66" s="3">
        <v>-515.99999999999898</v>
      </c>
      <c r="G66" s="4">
        <v>-0.39090909090908998</v>
      </c>
      <c r="H66" s="6">
        <f>H67+Table1[[#This Row],[PnL ($)]]</f>
        <v>21882.999999999964</v>
      </c>
      <c r="I66" s="2">
        <v>2.2000000000000002</v>
      </c>
      <c r="J66" s="2">
        <v>3.06</v>
      </c>
      <c r="K66" s="5">
        <v>6</v>
      </c>
      <c r="L66">
        <v>1</v>
      </c>
    </row>
    <row r="67" spans="1:12" x14ac:dyDescent="0.4">
      <c r="A67" t="s">
        <v>75</v>
      </c>
      <c r="B67" s="1">
        <v>45484</v>
      </c>
      <c r="C67" s="1">
        <v>45484</v>
      </c>
      <c r="D67" t="s">
        <v>15</v>
      </c>
      <c r="E67" t="s">
        <v>13</v>
      </c>
      <c r="F67" s="3">
        <v>401.99999999999898</v>
      </c>
      <c r="G67" s="4">
        <v>0.37853107344632703</v>
      </c>
      <c r="H67" s="6">
        <f>H68+Table1[[#This Row],[PnL ($)]]</f>
        <v>22398.999999999964</v>
      </c>
      <c r="I67" s="2">
        <v>1.77</v>
      </c>
      <c r="J67" s="2">
        <v>1.1000000000000001</v>
      </c>
      <c r="K67" s="5">
        <v>6</v>
      </c>
      <c r="L67">
        <v>0</v>
      </c>
    </row>
    <row r="68" spans="1:12" x14ac:dyDescent="0.4">
      <c r="A68" t="s">
        <v>77</v>
      </c>
      <c r="B68" s="1">
        <v>45484</v>
      </c>
      <c r="C68" s="1">
        <v>45484</v>
      </c>
      <c r="D68" t="s">
        <v>15</v>
      </c>
      <c r="E68" t="s">
        <v>13</v>
      </c>
      <c r="F68" s="3">
        <v>132</v>
      </c>
      <c r="G68" s="4">
        <v>6.9620253164557E-2</v>
      </c>
      <c r="H68" s="6">
        <f>H69+Table1[[#This Row],[PnL ($)]]</f>
        <v>21996.999999999964</v>
      </c>
      <c r="I68" s="2">
        <v>3.16</v>
      </c>
      <c r="J68" s="2">
        <v>2.94</v>
      </c>
      <c r="K68" s="5">
        <v>6</v>
      </c>
      <c r="L68">
        <v>0</v>
      </c>
    </row>
    <row r="69" spans="1:12" x14ac:dyDescent="0.4">
      <c r="A69" t="s">
        <v>78</v>
      </c>
      <c r="B69" s="1">
        <v>45483</v>
      </c>
      <c r="C69" s="1">
        <v>45484</v>
      </c>
      <c r="D69" t="s">
        <v>15</v>
      </c>
      <c r="E69" t="s">
        <v>13</v>
      </c>
      <c r="F69" s="3">
        <v>342</v>
      </c>
      <c r="G69" s="4">
        <v>0.37748344370860898</v>
      </c>
      <c r="H69" s="6">
        <f>H70+Table1[[#This Row],[PnL ($)]]</f>
        <v>21864.999999999964</v>
      </c>
      <c r="I69" s="2">
        <v>1.51</v>
      </c>
      <c r="J69" s="2">
        <v>0.94</v>
      </c>
      <c r="K69" s="5">
        <v>6</v>
      </c>
      <c r="L69">
        <v>1</v>
      </c>
    </row>
    <row r="70" spans="1:12" x14ac:dyDescent="0.4">
      <c r="A70" t="s">
        <v>79</v>
      </c>
      <c r="B70" s="1">
        <v>45483</v>
      </c>
      <c r="C70" s="1">
        <v>45483</v>
      </c>
      <c r="D70" t="s">
        <v>17</v>
      </c>
      <c r="E70" t="s">
        <v>13</v>
      </c>
      <c r="F70" s="3">
        <v>-474</v>
      </c>
      <c r="G70" s="4">
        <v>-0.54482758620689598</v>
      </c>
      <c r="H70" s="6">
        <f>H71+Table1[[#This Row],[PnL ($)]]</f>
        <v>21522.999999999964</v>
      </c>
      <c r="I70" s="2">
        <v>1.45</v>
      </c>
      <c r="J70" s="2">
        <v>2.2400000000000002</v>
      </c>
      <c r="K70" s="5">
        <v>6</v>
      </c>
      <c r="L70">
        <v>0</v>
      </c>
    </row>
    <row r="71" spans="1:12" x14ac:dyDescent="0.4">
      <c r="A71" t="s">
        <v>80</v>
      </c>
      <c r="B71" s="1">
        <v>45483</v>
      </c>
      <c r="C71" s="1">
        <v>45483</v>
      </c>
      <c r="D71" t="s">
        <v>17</v>
      </c>
      <c r="E71" t="s">
        <v>13</v>
      </c>
      <c r="F71" s="3">
        <v>-513</v>
      </c>
      <c r="G71" s="4">
        <v>-0.50741839762611196</v>
      </c>
      <c r="H71" s="6">
        <f>H72+Table1[[#This Row],[PnL ($)]]</f>
        <v>21996.999999999964</v>
      </c>
      <c r="I71" s="2">
        <v>1.6849999999999901</v>
      </c>
      <c r="J71" s="2">
        <v>2.54</v>
      </c>
      <c r="K71" s="5">
        <v>6</v>
      </c>
      <c r="L71">
        <v>0</v>
      </c>
    </row>
    <row r="72" spans="1:12" x14ac:dyDescent="0.4">
      <c r="A72" t="s">
        <v>76</v>
      </c>
      <c r="B72" s="1">
        <v>45478</v>
      </c>
      <c r="C72" s="1">
        <v>45483</v>
      </c>
      <c r="D72" t="s">
        <v>17</v>
      </c>
      <c r="E72" t="s">
        <v>13</v>
      </c>
      <c r="F72" s="3">
        <v>-585</v>
      </c>
      <c r="G72" s="4">
        <v>-0.31451612903225801</v>
      </c>
      <c r="H72" s="6">
        <f>H73+Table1[[#This Row],[PnL ($)]]</f>
        <v>22509.999999999964</v>
      </c>
      <c r="I72" s="2">
        <v>1.86</v>
      </c>
      <c r="J72" s="2">
        <v>2.4449999999999998</v>
      </c>
      <c r="K72" s="5">
        <v>10</v>
      </c>
      <c r="L72">
        <v>5</v>
      </c>
    </row>
    <row r="73" spans="1:12" x14ac:dyDescent="0.4">
      <c r="A73" t="s">
        <v>80</v>
      </c>
      <c r="B73" s="1">
        <v>45482</v>
      </c>
      <c r="C73" s="1">
        <v>45482</v>
      </c>
      <c r="D73" t="s">
        <v>15</v>
      </c>
      <c r="E73" t="s">
        <v>13</v>
      </c>
      <c r="F73" s="3">
        <v>135</v>
      </c>
      <c r="G73" s="4">
        <v>0.16167664670658599</v>
      </c>
      <c r="H73" s="6">
        <f>H74+Table1[[#This Row],[PnL ($)]]</f>
        <v>23094.999999999964</v>
      </c>
      <c r="I73" s="2">
        <v>1.67</v>
      </c>
      <c r="J73" s="2">
        <v>1.4</v>
      </c>
      <c r="K73" s="5">
        <v>5</v>
      </c>
      <c r="L73">
        <v>0</v>
      </c>
    </row>
    <row r="74" spans="1:12" x14ac:dyDescent="0.4">
      <c r="A74" t="s">
        <v>82</v>
      </c>
      <c r="B74" s="1">
        <v>45478</v>
      </c>
      <c r="C74" s="1">
        <v>45478</v>
      </c>
      <c r="D74" t="s">
        <v>15</v>
      </c>
      <c r="E74" t="s">
        <v>13</v>
      </c>
      <c r="F74" s="3">
        <v>14.999999999999901</v>
      </c>
      <c r="G74" s="4">
        <v>1.07142857142856E-2</v>
      </c>
      <c r="H74" s="6">
        <f>H75+Table1[[#This Row],[PnL ($)]]</f>
        <v>22959.999999999964</v>
      </c>
      <c r="I74" s="2">
        <v>2.8</v>
      </c>
      <c r="J74" s="2">
        <v>2.77</v>
      </c>
      <c r="K74" s="5">
        <v>5</v>
      </c>
      <c r="L74">
        <v>0</v>
      </c>
    </row>
    <row r="75" spans="1:12" x14ac:dyDescent="0.4">
      <c r="A75" t="s">
        <v>83</v>
      </c>
      <c r="B75" s="1">
        <v>45478</v>
      </c>
      <c r="C75" s="1">
        <v>45478</v>
      </c>
      <c r="D75" t="s">
        <v>17</v>
      </c>
      <c r="E75" t="s">
        <v>13</v>
      </c>
      <c r="F75" s="3">
        <v>-320</v>
      </c>
      <c r="G75" s="4">
        <v>-0.30769230769230699</v>
      </c>
      <c r="H75" s="6">
        <f>H76+Table1[[#This Row],[PnL ($)]]</f>
        <v>22944.999999999964</v>
      </c>
      <c r="I75" s="2">
        <v>2.08</v>
      </c>
      <c r="J75" s="2">
        <v>2.72</v>
      </c>
      <c r="K75" s="5">
        <v>5</v>
      </c>
      <c r="L75">
        <v>0</v>
      </c>
    </row>
    <row r="76" spans="1:12" x14ac:dyDescent="0.4">
      <c r="A76" t="s">
        <v>84</v>
      </c>
      <c r="B76" s="1">
        <v>45475</v>
      </c>
      <c r="C76" s="1">
        <v>45478</v>
      </c>
      <c r="D76" t="s">
        <v>17</v>
      </c>
      <c r="E76" t="s">
        <v>13</v>
      </c>
      <c r="F76" s="3">
        <v>-625</v>
      </c>
      <c r="G76" s="4">
        <v>-0.72674418604651103</v>
      </c>
      <c r="H76" s="6">
        <f>H77+Table1[[#This Row],[PnL ($)]]</f>
        <v>23264.999999999964</v>
      </c>
      <c r="I76" s="2">
        <v>1.72</v>
      </c>
      <c r="J76" s="2">
        <v>2.97</v>
      </c>
      <c r="K76" s="5">
        <v>5</v>
      </c>
      <c r="L76">
        <v>3</v>
      </c>
    </row>
    <row r="77" spans="1:12" x14ac:dyDescent="0.4">
      <c r="A77" t="s">
        <v>81</v>
      </c>
      <c r="B77" s="1">
        <v>45455</v>
      </c>
      <c r="C77" s="1">
        <v>45478</v>
      </c>
      <c r="D77" t="s">
        <v>15</v>
      </c>
      <c r="E77" t="s">
        <v>71</v>
      </c>
      <c r="F77" s="3">
        <v>3890</v>
      </c>
      <c r="G77" s="4">
        <v>0.100685906561408</v>
      </c>
      <c r="H77" s="6">
        <f>H78+Table1[[#This Row],[PnL ($)]]</f>
        <v>23889.999999999964</v>
      </c>
      <c r="I77" s="2">
        <v>77.27</v>
      </c>
      <c r="J77" s="2">
        <v>85.05</v>
      </c>
      <c r="K77" s="5">
        <v>5</v>
      </c>
      <c r="L77">
        <v>23</v>
      </c>
    </row>
    <row r="78" spans="1:12" x14ac:dyDescent="0.4">
      <c r="A78" t="s">
        <v>85</v>
      </c>
      <c r="B78" s="1">
        <v>45474</v>
      </c>
      <c r="C78" s="1">
        <v>45475</v>
      </c>
      <c r="D78" t="s">
        <v>17</v>
      </c>
      <c r="E78" t="s">
        <v>13</v>
      </c>
      <c r="F78" s="3">
        <v>-464.99999999999898</v>
      </c>
      <c r="G78" s="4">
        <v>-0.31958762886597902</v>
      </c>
      <c r="H78" s="6">
        <f>H79+Table1[[#This Row],[PnL ($)]]</f>
        <v>19999.999999999964</v>
      </c>
      <c r="I78" s="2">
        <v>2.91</v>
      </c>
      <c r="J78" s="2">
        <v>3.84</v>
      </c>
      <c r="K78" s="5">
        <v>5</v>
      </c>
      <c r="L78">
        <v>1</v>
      </c>
    </row>
    <row r="79" spans="1:12" x14ac:dyDescent="0.4">
      <c r="A79" t="s">
        <v>86</v>
      </c>
      <c r="B79" s="1">
        <v>45474</v>
      </c>
      <c r="C79" s="1">
        <v>45474</v>
      </c>
      <c r="D79" t="s">
        <v>352</v>
      </c>
      <c r="E79" t="s">
        <v>13</v>
      </c>
      <c r="F79" s="3">
        <v>0</v>
      </c>
      <c r="G79" s="4">
        <v>0</v>
      </c>
      <c r="H79" s="6">
        <f>H80+Table1[[#This Row],[PnL ($)]]</f>
        <v>20464.999999999964</v>
      </c>
      <c r="I79" s="2">
        <v>3.38</v>
      </c>
      <c r="J79" s="2">
        <v>3.38</v>
      </c>
      <c r="K79" s="5">
        <v>5</v>
      </c>
      <c r="L79">
        <v>0</v>
      </c>
    </row>
    <row r="80" spans="1:12" x14ac:dyDescent="0.4">
      <c r="A80" t="s">
        <v>87</v>
      </c>
      <c r="B80" s="1">
        <v>45471</v>
      </c>
      <c r="C80" s="1">
        <v>45474</v>
      </c>
      <c r="D80" t="s">
        <v>15</v>
      </c>
      <c r="E80" t="s">
        <v>13</v>
      </c>
      <c r="F80" s="3">
        <v>480</v>
      </c>
      <c r="G80" s="4">
        <v>0.31067961165048502</v>
      </c>
      <c r="H80" s="6">
        <f>H81+Table1[[#This Row],[PnL ($)]]</f>
        <v>20464.999999999964</v>
      </c>
      <c r="I80" s="2">
        <v>3.09</v>
      </c>
      <c r="J80" s="2">
        <v>2.13</v>
      </c>
      <c r="K80" s="5">
        <v>5</v>
      </c>
      <c r="L80">
        <v>3</v>
      </c>
    </row>
    <row r="81" spans="1:12" x14ac:dyDescent="0.4">
      <c r="A81" t="s">
        <v>88</v>
      </c>
      <c r="B81" s="1">
        <v>45471</v>
      </c>
      <c r="C81" s="1">
        <v>45471</v>
      </c>
      <c r="D81" t="s">
        <v>15</v>
      </c>
      <c r="E81" t="s">
        <v>13</v>
      </c>
      <c r="F81" s="3">
        <v>339.99999999999898</v>
      </c>
      <c r="G81" s="4">
        <v>0.58119658119658102</v>
      </c>
      <c r="H81" s="6">
        <f>H82+Table1[[#This Row],[PnL ($)]]</f>
        <v>19984.999999999964</v>
      </c>
      <c r="I81" s="2">
        <v>1.17</v>
      </c>
      <c r="J81" s="2">
        <v>0.49</v>
      </c>
      <c r="K81" s="5">
        <v>5</v>
      </c>
      <c r="L81">
        <v>0</v>
      </c>
    </row>
    <row r="82" spans="1:12" x14ac:dyDescent="0.4">
      <c r="A82" t="s">
        <v>89</v>
      </c>
      <c r="B82" s="1">
        <v>45470</v>
      </c>
      <c r="C82" s="1">
        <v>45471</v>
      </c>
      <c r="D82" t="s">
        <v>17</v>
      </c>
      <c r="E82" t="s">
        <v>13</v>
      </c>
      <c r="F82" s="3">
        <v>-600</v>
      </c>
      <c r="G82" s="4">
        <v>-0.69767441860465096</v>
      </c>
      <c r="H82" s="6">
        <f>H83+Table1[[#This Row],[PnL ($)]]</f>
        <v>19644.999999999964</v>
      </c>
      <c r="I82" s="2">
        <v>1.72</v>
      </c>
      <c r="J82" s="2">
        <v>2.92</v>
      </c>
      <c r="K82" s="5">
        <v>5</v>
      </c>
      <c r="L82">
        <v>1</v>
      </c>
    </row>
    <row r="83" spans="1:12" x14ac:dyDescent="0.4">
      <c r="A83" t="s">
        <v>90</v>
      </c>
      <c r="B83" s="1">
        <v>45468</v>
      </c>
      <c r="C83" s="1">
        <v>45470</v>
      </c>
      <c r="D83" t="s">
        <v>17</v>
      </c>
      <c r="E83" t="s">
        <v>13</v>
      </c>
      <c r="F83" s="3">
        <v>-145</v>
      </c>
      <c r="G83" s="4">
        <v>-9.3247588424437297E-2</v>
      </c>
      <c r="H83" s="6">
        <f>H84+Table1[[#This Row],[PnL ($)]]</f>
        <v>20244.999999999964</v>
      </c>
      <c r="I83" s="2">
        <v>3.11</v>
      </c>
      <c r="J83" s="2">
        <v>3.4</v>
      </c>
      <c r="K83" s="5">
        <v>5</v>
      </c>
      <c r="L83">
        <v>2</v>
      </c>
    </row>
    <row r="84" spans="1:12" x14ac:dyDescent="0.4">
      <c r="A84" t="s">
        <v>89</v>
      </c>
      <c r="B84" s="1">
        <v>45467</v>
      </c>
      <c r="C84" s="1">
        <v>45468</v>
      </c>
      <c r="D84" t="s">
        <v>15</v>
      </c>
      <c r="E84" t="s">
        <v>13</v>
      </c>
      <c r="F84" s="3">
        <v>440</v>
      </c>
      <c r="G84" s="4">
        <v>0.34375</v>
      </c>
      <c r="H84" s="6">
        <f>H85+Table1[[#This Row],[PnL ($)]]</f>
        <v>20389.999999999964</v>
      </c>
      <c r="I84" s="2">
        <v>2.56</v>
      </c>
      <c r="J84" s="2">
        <v>1.68</v>
      </c>
      <c r="K84" s="5">
        <v>5</v>
      </c>
      <c r="L84">
        <v>1</v>
      </c>
    </row>
    <row r="85" spans="1:12" x14ac:dyDescent="0.4">
      <c r="A85" t="s">
        <v>91</v>
      </c>
      <c r="B85" s="1">
        <v>45464</v>
      </c>
      <c r="C85" s="1">
        <v>45467</v>
      </c>
      <c r="D85" t="s">
        <v>17</v>
      </c>
      <c r="E85" t="s">
        <v>13</v>
      </c>
      <c r="F85" s="3">
        <v>-45.000000000000099</v>
      </c>
      <c r="G85" s="4">
        <v>-2.6470588235294201E-2</v>
      </c>
      <c r="H85" s="6">
        <f>H86+Table1[[#This Row],[PnL ($)]]</f>
        <v>19949.999999999964</v>
      </c>
      <c r="I85" s="2">
        <v>3.4</v>
      </c>
      <c r="J85" s="2">
        <v>3.49</v>
      </c>
      <c r="K85" s="5">
        <v>5</v>
      </c>
      <c r="L85">
        <v>3</v>
      </c>
    </row>
    <row r="86" spans="1:12" x14ac:dyDescent="0.4">
      <c r="A86" t="s">
        <v>89</v>
      </c>
      <c r="B86" s="1">
        <v>45463</v>
      </c>
      <c r="C86" s="1">
        <v>45464</v>
      </c>
      <c r="D86" t="s">
        <v>15</v>
      </c>
      <c r="E86" t="s">
        <v>13</v>
      </c>
      <c r="F86" s="3">
        <v>250</v>
      </c>
      <c r="G86" s="4">
        <v>0.16393442622950799</v>
      </c>
      <c r="H86" s="6">
        <f>H87+Table1[[#This Row],[PnL ($)]]</f>
        <v>19994.999999999964</v>
      </c>
      <c r="I86" s="2">
        <v>3.05</v>
      </c>
      <c r="J86" s="2">
        <v>2.5499999999999998</v>
      </c>
      <c r="K86" s="5">
        <v>5</v>
      </c>
      <c r="L86">
        <v>1</v>
      </c>
    </row>
    <row r="87" spans="1:12" x14ac:dyDescent="0.4">
      <c r="A87" t="s">
        <v>92</v>
      </c>
      <c r="B87" s="1">
        <v>45461</v>
      </c>
      <c r="C87" s="1">
        <v>45463</v>
      </c>
      <c r="D87" t="s">
        <v>15</v>
      </c>
      <c r="E87" t="s">
        <v>13</v>
      </c>
      <c r="F87" s="3">
        <v>258.99999999999898</v>
      </c>
      <c r="G87" s="4">
        <v>0.21949152542372799</v>
      </c>
      <c r="H87" s="6">
        <f>H88+Table1[[#This Row],[PnL ($)]]</f>
        <v>19744.999999999964</v>
      </c>
      <c r="I87" s="2">
        <v>2.36</v>
      </c>
      <c r="J87" s="2">
        <v>1.8420000000000001</v>
      </c>
      <c r="K87" s="5">
        <v>5</v>
      </c>
      <c r="L87">
        <v>2</v>
      </c>
    </row>
    <row r="88" spans="1:12" x14ac:dyDescent="0.4">
      <c r="A88" t="s">
        <v>93</v>
      </c>
      <c r="B88" s="1">
        <v>45461</v>
      </c>
      <c r="C88" s="1">
        <v>45461</v>
      </c>
      <c r="D88" t="s">
        <v>17</v>
      </c>
      <c r="E88" t="s">
        <v>13</v>
      </c>
      <c r="F88" s="3">
        <v>-25</v>
      </c>
      <c r="G88" s="4">
        <v>-2.9940119760479E-2</v>
      </c>
      <c r="H88" s="6">
        <f>H89+Table1[[#This Row],[PnL ($)]]</f>
        <v>19485.999999999964</v>
      </c>
      <c r="I88" s="2">
        <v>1.67</v>
      </c>
      <c r="J88" s="2">
        <v>1.72</v>
      </c>
      <c r="K88" s="5">
        <v>5</v>
      </c>
      <c r="L88">
        <v>0</v>
      </c>
    </row>
    <row r="89" spans="1:12" x14ac:dyDescent="0.4">
      <c r="A89" t="s">
        <v>94</v>
      </c>
      <c r="B89" s="1">
        <v>45460</v>
      </c>
      <c r="C89" s="1">
        <v>45461</v>
      </c>
      <c r="D89" t="s">
        <v>15</v>
      </c>
      <c r="E89" t="s">
        <v>13</v>
      </c>
      <c r="F89" s="3">
        <v>109.99999999999901</v>
      </c>
      <c r="G89" s="4">
        <v>0.129411764705882</v>
      </c>
      <c r="H89" s="6">
        <f>H90+Table1[[#This Row],[PnL ($)]]</f>
        <v>19510.999999999964</v>
      </c>
      <c r="I89" s="2">
        <v>1.7</v>
      </c>
      <c r="J89" s="2">
        <v>1.48</v>
      </c>
      <c r="K89" s="5">
        <v>5</v>
      </c>
      <c r="L89">
        <v>1</v>
      </c>
    </row>
    <row r="90" spans="1:12" x14ac:dyDescent="0.4">
      <c r="A90" t="s">
        <v>95</v>
      </c>
      <c r="B90" s="1">
        <v>45457</v>
      </c>
      <c r="C90" s="1">
        <v>45460</v>
      </c>
      <c r="D90" t="s">
        <v>17</v>
      </c>
      <c r="E90" t="s">
        <v>13</v>
      </c>
      <c r="F90" s="3">
        <v>-1410</v>
      </c>
      <c r="G90" s="4">
        <v>-2.4102564102564101</v>
      </c>
      <c r="H90" s="6">
        <f>H91+Table1[[#This Row],[PnL ($)]]</f>
        <v>19400.999999999964</v>
      </c>
      <c r="I90" s="2">
        <v>1.17</v>
      </c>
      <c r="J90" s="2">
        <v>3.99</v>
      </c>
      <c r="K90" s="5">
        <v>5</v>
      </c>
      <c r="L90">
        <v>3</v>
      </c>
    </row>
    <row r="91" spans="1:12" x14ac:dyDescent="0.4">
      <c r="A91" t="s">
        <v>96</v>
      </c>
      <c r="B91" s="1">
        <v>45457</v>
      </c>
      <c r="C91" s="1">
        <v>45457</v>
      </c>
      <c r="D91" t="s">
        <v>17</v>
      </c>
      <c r="E91" t="s">
        <v>13</v>
      </c>
      <c r="F91" s="3">
        <v>-190</v>
      </c>
      <c r="G91" s="4">
        <v>-0.31932773109243701</v>
      </c>
      <c r="H91" s="6">
        <f>H92+Table1[[#This Row],[PnL ($)]]</f>
        <v>20810.999999999964</v>
      </c>
      <c r="I91" s="2">
        <v>1.19</v>
      </c>
      <c r="J91" s="2">
        <v>1.57</v>
      </c>
      <c r="K91" s="5">
        <v>5</v>
      </c>
      <c r="L91">
        <v>0</v>
      </c>
    </row>
    <row r="92" spans="1:12" x14ac:dyDescent="0.4">
      <c r="A92" t="s">
        <v>97</v>
      </c>
      <c r="B92" s="1">
        <v>45456</v>
      </c>
      <c r="C92" s="1">
        <v>45457</v>
      </c>
      <c r="D92" t="s">
        <v>15</v>
      </c>
      <c r="E92" t="s">
        <v>13</v>
      </c>
      <c r="F92" s="3">
        <v>375</v>
      </c>
      <c r="G92" s="4">
        <v>0.56818181818181801</v>
      </c>
      <c r="H92" s="6">
        <f>H93+Table1[[#This Row],[PnL ($)]]</f>
        <v>21000.999999999964</v>
      </c>
      <c r="I92" s="2">
        <v>1.32</v>
      </c>
      <c r="J92" s="2">
        <v>0.56999999999999995</v>
      </c>
      <c r="K92" s="5">
        <v>5</v>
      </c>
      <c r="L92">
        <v>1</v>
      </c>
    </row>
    <row r="93" spans="1:12" x14ac:dyDescent="0.4">
      <c r="A93" t="s">
        <v>98</v>
      </c>
      <c r="B93" s="1">
        <v>45455</v>
      </c>
      <c r="C93" s="1">
        <v>45456</v>
      </c>
      <c r="D93" t="s">
        <v>15</v>
      </c>
      <c r="E93" t="s">
        <v>13</v>
      </c>
      <c r="F93" s="3">
        <v>375</v>
      </c>
      <c r="G93" s="4">
        <v>0.60975609756097504</v>
      </c>
      <c r="H93" s="6">
        <f>H94+Table1[[#This Row],[PnL ($)]]</f>
        <v>20625.999999999964</v>
      </c>
      <c r="I93" s="2">
        <v>1.23</v>
      </c>
      <c r="J93" s="2">
        <v>0.48</v>
      </c>
      <c r="K93" s="5">
        <v>5</v>
      </c>
      <c r="L93">
        <v>1</v>
      </c>
    </row>
    <row r="94" spans="1:12" x14ac:dyDescent="0.4">
      <c r="A94" t="s">
        <v>100</v>
      </c>
      <c r="B94" s="1">
        <v>45455</v>
      </c>
      <c r="C94" s="1">
        <v>45455</v>
      </c>
      <c r="D94" t="s">
        <v>17</v>
      </c>
      <c r="E94" t="s">
        <v>13</v>
      </c>
      <c r="F94" s="3">
        <v>-14.999999999999901</v>
      </c>
      <c r="G94" s="4">
        <v>-1.6216216216216099E-2</v>
      </c>
      <c r="H94" s="6">
        <f>H95+Table1[[#This Row],[PnL ($)]]</f>
        <v>20250.999999999964</v>
      </c>
      <c r="I94" s="2">
        <v>1.85</v>
      </c>
      <c r="J94" s="2">
        <v>1.88</v>
      </c>
      <c r="K94" s="5">
        <v>5</v>
      </c>
      <c r="L94">
        <v>0</v>
      </c>
    </row>
    <row r="95" spans="1:12" x14ac:dyDescent="0.4">
      <c r="A95" t="s">
        <v>101</v>
      </c>
      <c r="B95" s="1">
        <v>45453</v>
      </c>
      <c r="C95" s="1">
        <v>45455</v>
      </c>
      <c r="D95" t="s">
        <v>17</v>
      </c>
      <c r="E95" t="s">
        <v>13</v>
      </c>
      <c r="F95" s="3">
        <v>-1970</v>
      </c>
      <c r="G95" s="4">
        <v>-1.6554621848739499</v>
      </c>
      <c r="H95" s="6">
        <f>H96+Table1[[#This Row],[PnL ($)]]</f>
        <v>20265.999999999964</v>
      </c>
      <c r="I95" s="2">
        <v>2.38</v>
      </c>
      <c r="J95" s="2">
        <v>6.32</v>
      </c>
      <c r="K95" s="5">
        <v>5</v>
      </c>
      <c r="L95">
        <v>2</v>
      </c>
    </row>
    <row r="96" spans="1:12" x14ac:dyDescent="0.4">
      <c r="A96" t="s">
        <v>99</v>
      </c>
      <c r="B96" s="1">
        <v>45428</v>
      </c>
      <c r="C96" s="1">
        <v>45455</v>
      </c>
      <c r="D96" t="s">
        <v>15</v>
      </c>
      <c r="E96" t="s">
        <v>71</v>
      </c>
      <c r="F96" s="3">
        <v>4315.99999999999</v>
      </c>
      <c r="G96" s="4">
        <v>7.7879427633122E-2</v>
      </c>
      <c r="H96" s="6">
        <f>H97+Table1[[#This Row],[PnL ($)]]</f>
        <v>22235.999999999964</v>
      </c>
      <c r="I96" s="2">
        <v>79.17</v>
      </c>
      <c r="J96" s="2">
        <v>85.335714285714204</v>
      </c>
      <c r="K96" s="5">
        <v>7</v>
      </c>
      <c r="L96">
        <v>27</v>
      </c>
    </row>
    <row r="97" spans="1:12" x14ac:dyDescent="0.4">
      <c r="A97" t="s">
        <v>102</v>
      </c>
      <c r="B97" s="1">
        <v>45453</v>
      </c>
      <c r="C97" s="1">
        <v>45453</v>
      </c>
      <c r="D97" t="s">
        <v>17</v>
      </c>
      <c r="E97" t="s">
        <v>13</v>
      </c>
      <c r="F97" s="3">
        <v>-599</v>
      </c>
      <c r="G97" s="4">
        <v>-0.38620245003223702</v>
      </c>
      <c r="H97" s="6">
        <f>H98+Table1[[#This Row],[PnL ($)]]</f>
        <v>17919.999999999975</v>
      </c>
      <c r="I97" s="2">
        <v>3.1019999999999999</v>
      </c>
      <c r="J97" s="2">
        <v>4.3</v>
      </c>
      <c r="K97" s="5">
        <v>5</v>
      </c>
      <c r="L97">
        <v>0</v>
      </c>
    </row>
    <row r="98" spans="1:12" x14ac:dyDescent="0.4">
      <c r="A98" t="s">
        <v>103</v>
      </c>
      <c r="B98" s="1">
        <v>45450</v>
      </c>
      <c r="C98" s="1">
        <v>45453</v>
      </c>
      <c r="D98" t="s">
        <v>15</v>
      </c>
      <c r="E98" t="s">
        <v>13</v>
      </c>
      <c r="F98" s="3">
        <v>615</v>
      </c>
      <c r="G98" s="4">
        <v>0.53711790393013104</v>
      </c>
      <c r="H98" s="6">
        <f>H99+Table1[[#This Row],[PnL ($)]]</f>
        <v>18518.999999999975</v>
      </c>
      <c r="I98" s="2">
        <v>2.29</v>
      </c>
      <c r="J98" s="2">
        <v>1.06</v>
      </c>
      <c r="K98" s="5">
        <v>5</v>
      </c>
      <c r="L98">
        <v>3</v>
      </c>
    </row>
    <row r="99" spans="1:12" x14ac:dyDescent="0.4">
      <c r="A99" t="s">
        <v>104</v>
      </c>
      <c r="B99" s="1">
        <v>45448</v>
      </c>
      <c r="C99" s="1">
        <v>45450</v>
      </c>
      <c r="D99" t="s">
        <v>17</v>
      </c>
      <c r="E99" t="s">
        <v>13</v>
      </c>
      <c r="F99" s="3">
        <v>-695</v>
      </c>
      <c r="G99" s="4">
        <v>-0.235593220338983</v>
      </c>
      <c r="H99" s="6">
        <f>H100+Table1[[#This Row],[PnL ($)]]</f>
        <v>17903.999999999975</v>
      </c>
      <c r="I99" s="2">
        <v>2.95</v>
      </c>
      <c r="J99" s="2">
        <v>3.645</v>
      </c>
      <c r="K99" s="5">
        <v>10</v>
      </c>
      <c r="L99">
        <v>2</v>
      </c>
    </row>
    <row r="100" spans="1:12" x14ac:dyDescent="0.4">
      <c r="A100" t="s">
        <v>103</v>
      </c>
      <c r="B100" s="1">
        <v>45449</v>
      </c>
      <c r="C100" s="1">
        <v>45449</v>
      </c>
      <c r="D100" t="s">
        <v>15</v>
      </c>
      <c r="E100" t="s">
        <v>13</v>
      </c>
      <c r="F100" s="3">
        <v>174.99999999999901</v>
      </c>
      <c r="G100" s="4">
        <v>0.15350877192982401</v>
      </c>
      <c r="H100" s="6">
        <f>H101+Table1[[#This Row],[PnL ($)]]</f>
        <v>18598.999999999975</v>
      </c>
      <c r="I100" s="2">
        <v>2.2799999999999998</v>
      </c>
      <c r="J100" s="2">
        <v>1.93</v>
      </c>
      <c r="K100" s="5">
        <v>5</v>
      </c>
      <c r="L100">
        <v>0</v>
      </c>
    </row>
    <row r="101" spans="1:12" x14ac:dyDescent="0.4">
      <c r="A101" t="s">
        <v>105</v>
      </c>
      <c r="B101" s="1">
        <v>45447</v>
      </c>
      <c r="C101" s="1">
        <v>45448</v>
      </c>
      <c r="D101" t="s">
        <v>17</v>
      </c>
      <c r="E101" t="s">
        <v>13</v>
      </c>
      <c r="F101" s="3">
        <v>-1304.99999999999</v>
      </c>
      <c r="G101" s="4">
        <v>-0.64764267990074398</v>
      </c>
      <c r="H101" s="6">
        <f>H102+Table1[[#This Row],[PnL ($)]]</f>
        <v>18423.999999999975</v>
      </c>
      <c r="I101" s="2">
        <v>4.03</v>
      </c>
      <c r="J101" s="2">
        <v>6.64</v>
      </c>
      <c r="K101" s="5">
        <v>5</v>
      </c>
      <c r="L101">
        <v>1</v>
      </c>
    </row>
    <row r="102" spans="1:12" x14ac:dyDescent="0.4">
      <c r="A102" t="s">
        <v>106</v>
      </c>
      <c r="B102" s="1">
        <v>45446</v>
      </c>
      <c r="C102" s="1">
        <v>45447</v>
      </c>
      <c r="D102" t="s">
        <v>17</v>
      </c>
      <c r="E102" t="s">
        <v>13</v>
      </c>
      <c r="F102" s="3">
        <v>-799.99999999999898</v>
      </c>
      <c r="G102" s="4">
        <v>-0.37037037037037002</v>
      </c>
      <c r="H102" s="6">
        <f>H103+Table1[[#This Row],[PnL ($)]]</f>
        <v>19728.999999999964</v>
      </c>
      <c r="I102" s="2">
        <v>4.32</v>
      </c>
      <c r="J102" s="2">
        <v>5.92</v>
      </c>
      <c r="K102" s="5">
        <v>5</v>
      </c>
      <c r="L102">
        <v>1</v>
      </c>
    </row>
    <row r="103" spans="1:12" x14ac:dyDescent="0.4">
      <c r="A103" t="s">
        <v>105</v>
      </c>
      <c r="B103" s="1">
        <v>45446</v>
      </c>
      <c r="C103" s="1">
        <v>45446</v>
      </c>
      <c r="D103" t="s">
        <v>15</v>
      </c>
      <c r="E103" t="s">
        <v>13</v>
      </c>
      <c r="F103" s="3">
        <v>727.99999999999898</v>
      </c>
      <c r="G103" s="4">
        <v>0.24186046511627801</v>
      </c>
      <c r="H103" s="6">
        <f>H104+Table1[[#This Row],[PnL ($)]]</f>
        <v>20528.999999999964</v>
      </c>
      <c r="I103" s="2">
        <v>4.3</v>
      </c>
      <c r="J103" s="2">
        <v>3.26</v>
      </c>
      <c r="K103" s="5">
        <v>7</v>
      </c>
      <c r="L103">
        <v>0</v>
      </c>
    </row>
    <row r="104" spans="1:12" x14ac:dyDescent="0.4">
      <c r="A104" t="s">
        <v>107</v>
      </c>
      <c r="B104" s="1">
        <v>45443</v>
      </c>
      <c r="C104" s="1">
        <v>45446</v>
      </c>
      <c r="D104" t="s">
        <v>17</v>
      </c>
      <c r="E104" t="s">
        <v>13</v>
      </c>
      <c r="F104" s="3">
        <v>-3464.99999999999</v>
      </c>
      <c r="G104" s="4">
        <v>-1.3199999999999901</v>
      </c>
      <c r="H104" s="6">
        <f>H105+Table1[[#This Row],[PnL ($)]]</f>
        <v>19800.999999999964</v>
      </c>
      <c r="I104" s="2">
        <v>3.75</v>
      </c>
      <c r="J104" s="2">
        <v>8.6999999999999993</v>
      </c>
      <c r="K104" s="5">
        <v>7</v>
      </c>
      <c r="L104">
        <v>3</v>
      </c>
    </row>
    <row r="105" spans="1:12" x14ac:dyDescent="0.4">
      <c r="A105" t="s">
        <v>108</v>
      </c>
      <c r="B105" s="1">
        <v>45442</v>
      </c>
      <c r="C105" s="1">
        <v>45443</v>
      </c>
      <c r="D105" t="s">
        <v>15</v>
      </c>
      <c r="E105" t="s">
        <v>13</v>
      </c>
      <c r="F105" s="3">
        <v>1239</v>
      </c>
      <c r="G105" s="4">
        <v>0.51754385964912197</v>
      </c>
      <c r="H105" s="6">
        <f>H106+Table1[[#This Row],[PnL ($)]]</f>
        <v>23265.999999999953</v>
      </c>
      <c r="I105" s="2">
        <v>3.42</v>
      </c>
      <c r="J105" s="2">
        <v>1.65</v>
      </c>
      <c r="K105" s="5">
        <v>7</v>
      </c>
      <c r="L105">
        <v>1</v>
      </c>
    </row>
    <row r="106" spans="1:12" x14ac:dyDescent="0.4">
      <c r="A106" t="s">
        <v>109</v>
      </c>
      <c r="B106" s="1">
        <v>45441</v>
      </c>
      <c r="C106" s="1">
        <v>45442</v>
      </c>
      <c r="D106" t="s">
        <v>15</v>
      </c>
      <c r="E106" t="s">
        <v>13</v>
      </c>
      <c r="F106" s="3">
        <v>1036</v>
      </c>
      <c r="G106" s="4">
        <v>0.47133757961783401</v>
      </c>
      <c r="H106" s="6">
        <f>H107+Table1[[#This Row],[PnL ($)]]</f>
        <v>22026.999999999953</v>
      </c>
      <c r="I106" s="2">
        <v>3.14</v>
      </c>
      <c r="J106" s="2">
        <v>1.66</v>
      </c>
      <c r="K106" s="5">
        <v>7</v>
      </c>
      <c r="L106">
        <v>1</v>
      </c>
    </row>
    <row r="107" spans="1:12" x14ac:dyDescent="0.4">
      <c r="A107" t="s">
        <v>110</v>
      </c>
      <c r="B107" s="1">
        <v>45441</v>
      </c>
      <c r="C107" s="1">
        <v>45441</v>
      </c>
      <c r="D107" t="s">
        <v>17</v>
      </c>
      <c r="E107" t="s">
        <v>13</v>
      </c>
      <c r="F107" s="3">
        <v>-217</v>
      </c>
      <c r="G107" s="4">
        <v>-9.1988130563798204E-2</v>
      </c>
      <c r="H107" s="6">
        <f>H108+Table1[[#This Row],[PnL ($)]]</f>
        <v>20990.999999999953</v>
      </c>
      <c r="I107" s="2">
        <v>3.37</v>
      </c>
      <c r="J107" s="2">
        <v>3.68</v>
      </c>
      <c r="K107" s="5">
        <v>7</v>
      </c>
      <c r="L107">
        <v>0</v>
      </c>
    </row>
    <row r="108" spans="1:12" x14ac:dyDescent="0.4">
      <c r="A108" t="s">
        <v>111</v>
      </c>
      <c r="B108" s="1">
        <v>45436</v>
      </c>
      <c r="C108" s="1">
        <v>45441</v>
      </c>
      <c r="D108" t="s">
        <v>15</v>
      </c>
      <c r="E108" t="s">
        <v>13</v>
      </c>
      <c r="F108" s="3">
        <v>741.99999999999898</v>
      </c>
      <c r="G108" s="4">
        <v>0.76258992805755299</v>
      </c>
      <c r="H108" s="6">
        <f>H109+Table1[[#This Row],[PnL ($)]]</f>
        <v>21207.999999999953</v>
      </c>
      <c r="I108" s="2">
        <v>1.39</v>
      </c>
      <c r="J108" s="2">
        <v>0.33</v>
      </c>
      <c r="K108" s="5">
        <v>7</v>
      </c>
      <c r="L108">
        <v>5</v>
      </c>
    </row>
    <row r="109" spans="1:12" x14ac:dyDescent="0.4">
      <c r="A109" t="s">
        <v>112</v>
      </c>
      <c r="B109" s="1">
        <v>45436</v>
      </c>
      <c r="C109" s="1">
        <v>45436</v>
      </c>
      <c r="D109" t="s">
        <v>17</v>
      </c>
      <c r="E109" t="s">
        <v>13</v>
      </c>
      <c r="F109" s="3">
        <v>-273</v>
      </c>
      <c r="G109" s="4">
        <v>-0.267123287671233</v>
      </c>
      <c r="H109" s="6">
        <f>H110+Table1[[#This Row],[PnL ($)]]</f>
        <v>20465.999999999953</v>
      </c>
      <c r="I109" s="2">
        <v>1.46</v>
      </c>
      <c r="J109" s="2">
        <v>1.85</v>
      </c>
      <c r="K109" s="5">
        <v>7</v>
      </c>
      <c r="L109">
        <v>0</v>
      </c>
    </row>
    <row r="110" spans="1:12" x14ac:dyDescent="0.4">
      <c r="A110" t="s">
        <v>113</v>
      </c>
      <c r="B110" s="1">
        <v>45435</v>
      </c>
      <c r="C110" s="1">
        <v>45436</v>
      </c>
      <c r="D110" t="s">
        <v>15</v>
      </c>
      <c r="E110" t="s">
        <v>13</v>
      </c>
      <c r="F110" s="3">
        <v>686</v>
      </c>
      <c r="G110" s="4">
        <v>0.62820512820512797</v>
      </c>
      <c r="H110" s="6">
        <f>H111+Table1[[#This Row],[PnL ($)]]</f>
        <v>20738.999999999953</v>
      </c>
      <c r="I110" s="2">
        <v>1.56</v>
      </c>
      <c r="J110" s="2">
        <v>0.57999999999999996</v>
      </c>
      <c r="K110" s="5">
        <v>7</v>
      </c>
      <c r="L110">
        <v>1</v>
      </c>
    </row>
    <row r="111" spans="1:12" x14ac:dyDescent="0.4">
      <c r="A111" t="s">
        <v>114</v>
      </c>
      <c r="B111" s="1">
        <v>45435</v>
      </c>
      <c r="C111" s="1">
        <v>45435</v>
      </c>
      <c r="D111" t="s">
        <v>15</v>
      </c>
      <c r="E111" t="s">
        <v>13</v>
      </c>
      <c r="F111" s="3">
        <v>252</v>
      </c>
      <c r="G111" s="4">
        <v>0.27480916030534303</v>
      </c>
      <c r="H111" s="6">
        <f>H112+Table1[[#This Row],[PnL ($)]]</f>
        <v>20052.999999999953</v>
      </c>
      <c r="I111" s="2">
        <v>1.31</v>
      </c>
      <c r="J111" s="2">
        <v>0.95</v>
      </c>
      <c r="K111" s="5">
        <v>7</v>
      </c>
      <c r="L111">
        <v>0</v>
      </c>
    </row>
    <row r="112" spans="1:12" x14ac:dyDescent="0.4">
      <c r="A112" t="s">
        <v>115</v>
      </c>
      <c r="B112" s="1">
        <v>45435</v>
      </c>
      <c r="C112" s="1">
        <v>45435</v>
      </c>
      <c r="D112" t="s">
        <v>17</v>
      </c>
      <c r="E112" t="s">
        <v>13</v>
      </c>
      <c r="F112" s="3">
        <v>-14</v>
      </c>
      <c r="G112" s="4">
        <v>-2.6666666666666599E-2</v>
      </c>
      <c r="H112" s="6">
        <f>H113+Table1[[#This Row],[PnL ($)]]</f>
        <v>19800.999999999953</v>
      </c>
      <c r="I112" s="2">
        <v>0.75</v>
      </c>
      <c r="J112" s="2">
        <v>0.77</v>
      </c>
      <c r="K112" s="5">
        <v>7</v>
      </c>
      <c r="L112">
        <v>0</v>
      </c>
    </row>
    <row r="113" spans="1:12" x14ac:dyDescent="0.4">
      <c r="A113" t="s">
        <v>111</v>
      </c>
      <c r="B113" s="1">
        <v>45434</v>
      </c>
      <c r="C113" s="1">
        <v>45435</v>
      </c>
      <c r="D113" t="s">
        <v>17</v>
      </c>
      <c r="E113" t="s">
        <v>13</v>
      </c>
      <c r="F113" s="3">
        <v>-391.99999999999898</v>
      </c>
      <c r="G113" s="4">
        <v>-0.22489959839357401</v>
      </c>
      <c r="H113" s="6">
        <f>H114+Table1[[#This Row],[PnL ($)]]</f>
        <v>19814.999999999953</v>
      </c>
      <c r="I113" s="2">
        <v>2.4900000000000002</v>
      </c>
      <c r="J113" s="2">
        <v>3.05</v>
      </c>
      <c r="K113" s="5">
        <v>7</v>
      </c>
      <c r="L113">
        <v>1</v>
      </c>
    </row>
    <row r="114" spans="1:12" x14ac:dyDescent="0.4">
      <c r="A114" t="s">
        <v>113</v>
      </c>
      <c r="B114" s="1">
        <v>45434</v>
      </c>
      <c r="C114" s="1">
        <v>45434</v>
      </c>
      <c r="D114" t="s">
        <v>15</v>
      </c>
      <c r="E114" t="s">
        <v>13</v>
      </c>
      <c r="F114" s="3">
        <v>336</v>
      </c>
      <c r="G114" s="4">
        <v>0.217194570135746</v>
      </c>
      <c r="H114" s="6">
        <f>H115+Table1[[#This Row],[PnL ($)]]</f>
        <v>20206.999999999953</v>
      </c>
      <c r="I114" s="2">
        <v>2.21</v>
      </c>
      <c r="J114" s="2">
        <v>1.73</v>
      </c>
      <c r="K114" s="5">
        <v>7</v>
      </c>
      <c r="L114">
        <v>0</v>
      </c>
    </row>
    <row r="115" spans="1:12" x14ac:dyDescent="0.4">
      <c r="A115" t="s">
        <v>114</v>
      </c>
      <c r="B115" s="1">
        <v>45432</v>
      </c>
      <c r="C115" s="1">
        <v>45434</v>
      </c>
      <c r="D115" t="s">
        <v>15</v>
      </c>
      <c r="E115" t="s">
        <v>13</v>
      </c>
      <c r="F115" s="3">
        <v>462</v>
      </c>
      <c r="G115" s="4">
        <v>0.195266272189349</v>
      </c>
      <c r="H115" s="6">
        <f>H116+Table1[[#This Row],[PnL ($)]]</f>
        <v>19870.999999999953</v>
      </c>
      <c r="I115" s="2">
        <v>1.69</v>
      </c>
      <c r="J115" s="2">
        <v>1.3599999999999901</v>
      </c>
      <c r="K115" s="5">
        <v>14</v>
      </c>
      <c r="L115">
        <v>2</v>
      </c>
    </row>
    <row r="116" spans="1:12" x14ac:dyDescent="0.4">
      <c r="A116" t="s">
        <v>113</v>
      </c>
      <c r="B116" s="1">
        <v>45433</v>
      </c>
      <c r="C116" s="1">
        <v>45433</v>
      </c>
      <c r="D116" t="s">
        <v>17</v>
      </c>
      <c r="E116" t="s">
        <v>13</v>
      </c>
      <c r="F116" s="3">
        <v>-343</v>
      </c>
      <c r="G116" s="4">
        <v>-0.26344086021505297</v>
      </c>
      <c r="H116" s="6">
        <f>H117+Table1[[#This Row],[PnL ($)]]</f>
        <v>19408.999999999953</v>
      </c>
      <c r="I116" s="2">
        <v>1.86</v>
      </c>
      <c r="J116" s="2">
        <v>2.35</v>
      </c>
      <c r="K116" s="5">
        <v>7</v>
      </c>
      <c r="L116">
        <v>0</v>
      </c>
    </row>
    <row r="117" spans="1:12" x14ac:dyDescent="0.4">
      <c r="A117" t="s">
        <v>116</v>
      </c>
      <c r="B117" s="1">
        <v>45429</v>
      </c>
      <c r="C117" s="1">
        <v>45432</v>
      </c>
      <c r="D117" t="s">
        <v>17</v>
      </c>
      <c r="E117" t="s">
        <v>13</v>
      </c>
      <c r="F117" s="3">
        <v>-497</v>
      </c>
      <c r="G117" s="4">
        <v>-0.54198473282442705</v>
      </c>
      <c r="H117" s="6">
        <f>H118+Table1[[#This Row],[PnL ($)]]</f>
        <v>19751.999999999953</v>
      </c>
      <c r="I117" s="2">
        <v>1.31</v>
      </c>
      <c r="J117" s="2">
        <v>2.02</v>
      </c>
      <c r="K117" s="5">
        <v>7</v>
      </c>
      <c r="L117">
        <v>3</v>
      </c>
    </row>
    <row r="118" spans="1:12" x14ac:dyDescent="0.4">
      <c r="A118" t="s">
        <v>117</v>
      </c>
      <c r="B118" s="1">
        <v>45428</v>
      </c>
      <c r="C118" s="1">
        <v>45429</v>
      </c>
      <c r="D118" t="s">
        <v>15</v>
      </c>
      <c r="E118" t="s">
        <v>13</v>
      </c>
      <c r="F118" s="3">
        <v>588</v>
      </c>
      <c r="G118" s="4">
        <v>0.51851851851851805</v>
      </c>
      <c r="H118" s="6">
        <f>H119+Table1[[#This Row],[PnL ($)]]</f>
        <v>20248.999999999953</v>
      </c>
      <c r="I118" s="2">
        <v>1.62</v>
      </c>
      <c r="J118" s="2">
        <v>0.78</v>
      </c>
      <c r="K118" s="5">
        <v>7</v>
      </c>
      <c r="L118">
        <v>1</v>
      </c>
    </row>
    <row r="119" spans="1:12" x14ac:dyDescent="0.4">
      <c r="A119" t="s">
        <v>116</v>
      </c>
      <c r="B119" s="1">
        <v>45427</v>
      </c>
      <c r="C119" s="1">
        <v>45428</v>
      </c>
      <c r="D119" t="s">
        <v>17</v>
      </c>
      <c r="E119" t="s">
        <v>13</v>
      </c>
      <c r="F119" s="3">
        <v>-433.99999999999898</v>
      </c>
      <c r="G119" s="4">
        <v>-0.348314606741572</v>
      </c>
      <c r="H119" s="6">
        <f>H120+Table1[[#This Row],[PnL ($)]]</f>
        <v>19660.999999999953</v>
      </c>
      <c r="I119" s="2">
        <v>1.78</v>
      </c>
      <c r="J119" s="2">
        <v>2.4</v>
      </c>
      <c r="K119" s="5">
        <v>7</v>
      </c>
      <c r="L119">
        <v>1</v>
      </c>
    </row>
    <row r="120" spans="1:12" x14ac:dyDescent="0.4">
      <c r="A120" t="s">
        <v>118</v>
      </c>
      <c r="B120" s="1">
        <v>45372</v>
      </c>
      <c r="C120" s="1">
        <v>45428</v>
      </c>
      <c r="D120" t="s">
        <v>17</v>
      </c>
      <c r="E120" t="s">
        <v>71</v>
      </c>
      <c r="F120" s="3">
        <v>-238.00000000000199</v>
      </c>
      <c r="G120" s="4">
        <v>-4.2230778785244403E-3</v>
      </c>
      <c r="H120" s="6">
        <f>H121+Table1[[#This Row],[PnL ($)]]</f>
        <v>20094.999999999953</v>
      </c>
      <c r="I120" s="2">
        <v>80.510000000000005</v>
      </c>
      <c r="J120" s="2">
        <v>80.17</v>
      </c>
      <c r="K120" s="5">
        <v>7</v>
      </c>
      <c r="L120">
        <v>56</v>
      </c>
    </row>
    <row r="121" spans="1:12" x14ac:dyDescent="0.4">
      <c r="A121" t="s">
        <v>119</v>
      </c>
      <c r="B121" s="1">
        <v>45427</v>
      </c>
      <c r="C121" s="1">
        <v>45427</v>
      </c>
      <c r="D121" t="s">
        <v>17</v>
      </c>
      <c r="E121" t="s">
        <v>13</v>
      </c>
      <c r="F121" s="3">
        <v>-616</v>
      </c>
      <c r="G121" s="4">
        <v>-0.37288135593220301</v>
      </c>
      <c r="H121" s="6">
        <f>H122+Table1[[#This Row],[PnL ($)]]</f>
        <v>20332.999999999956</v>
      </c>
      <c r="I121" s="2">
        <v>2.36</v>
      </c>
      <c r="J121" s="2">
        <v>3.24</v>
      </c>
      <c r="K121" s="5">
        <v>7</v>
      </c>
      <c r="L121">
        <v>0</v>
      </c>
    </row>
    <row r="122" spans="1:12" x14ac:dyDescent="0.4">
      <c r="A122" t="s">
        <v>120</v>
      </c>
      <c r="B122" s="1">
        <v>45426</v>
      </c>
      <c r="C122" s="1">
        <v>45427</v>
      </c>
      <c r="D122" t="s">
        <v>17</v>
      </c>
      <c r="E122" t="s">
        <v>13</v>
      </c>
      <c r="F122" s="3">
        <v>-32</v>
      </c>
      <c r="G122" s="4">
        <v>-0.12075471698113199</v>
      </c>
      <c r="H122" s="6">
        <f>H123+Table1[[#This Row],[PnL ($)]]</f>
        <v>20948.999999999956</v>
      </c>
      <c r="I122" s="2">
        <v>2.65</v>
      </c>
      <c r="J122" s="2">
        <v>2.97</v>
      </c>
      <c r="K122" s="5">
        <v>1</v>
      </c>
      <c r="L122">
        <v>1</v>
      </c>
    </row>
    <row r="123" spans="1:12" x14ac:dyDescent="0.4">
      <c r="A123" t="s">
        <v>121</v>
      </c>
      <c r="B123" s="1">
        <v>45426</v>
      </c>
      <c r="C123" s="1">
        <v>45426</v>
      </c>
      <c r="D123" t="s">
        <v>17</v>
      </c>
      <c r="E123" t="s">
        <v>13</v>
      </c>
      <c r="F123" s="3">
        <v>-411</v>
      </c>
      <c r="G123" s="4">
        <v>-0.156155015197568</v>
      </c>
      <c r="H123" s="6">
        <f>H124+Table1[[#This Row],[PnL ($)]]</f>
        <v>20980.999999999956</v>
      </c>
      <c r="I123" s="2">
        <v>3.76</v>
      </c>
      <c r="J123" s="2">
        <v>4.3471428571428499</v>
      </c>
      <c r="K123" s="5">
        <v>7</v>
      </c>
      <c r="L123">
        <v>0</v>
      </c>
    </row>
    <row r="124" spans="1:12" x14ac:dyDescent="0.4">
      <c r="A124" t="s">
        <v>122</v>
      </c>
      <c r="B124" s="1">
        <v>45425</v>
      </c>
      <c r="C124" s="1">
        <v>45426</v>
      </c>
      <c r="D124" t="s">
        <v>17</v>
      </c>
      <c r="E124" t="s">
        <v>13</v>
      </c>
      <c r="F124" s="3">
        <v>-391.99999999999898</v>
      </c>
      <c r="G124" s="4">
        <v>-0.16231884057970999</v>
      </c>
      <c r="H124" s="6">
        <f>H125+Table1[[#This Row],[PnL ($)]]</f>
        <v>21391.999999999956</v>
      </c>
      <c r="I124" s="2">
        <v>3.45</v>
      </c>
      <c r="J124" s="2">
        <v>4.01</v>
      </c>
      <c r="K124" s="5">
        <v>7</v>
      </c>
      <c r="L124">
        <v>1</v>
      </c>
    </row>
    <row r="125" spans="1:12" x14ac:dyDescent="0.4">
      <c r="A125" t="s">
        <v>123</v>
      </c>
      <c r="B125" s="1">
        <v>45422</v>
      </c>
      <c r="C125" s="1">
        <v>45425</v>
      </c>
      <c r="D125" t="s">
        <v>17</v>
      </c>
      <c r="E125" t="s">
        <v>13</v>
      </c>
      <c r="F125" s="3">
        <v>-28</v>
      </c>
      <c r="G125" s="4">
        <v>-1.7094017094017099E-2</v>
      </c>
      <c r="H125" s="6">
        <f>H126+Table1[[#This Row],[PnL ($)]]</f>
        <v>21783.999999999956</v>
      </c>
      <c r="I125" s="2">
        <v>2.34</v>
      </c>
      <c r="J125" s="2">
        <v>2.38</v>
      </c>
      <c r="K125" s="5">
        <v>7</v>
      </c>
      <c r="L125">
        <v>3</v>
      </c>
    </row>
    <row r="126" spans="1:12" x14ac:dyDescent="0.4">
      <c r="A126" t="s">
        <v>124</v>
      </c>
      <c r="B126" s="1">
        <v>45422</v>
      </c>
      <c r="C126" s="1">
        <v>45422</v>
      </c>
      <c r="D126" t="s">
        <v>17</v>
      </c>
      <c r="E126" t="s">
        <v>13</v>
      </c>
      <c r="F126" s="3">
        <v>-83.999999999999901</v>
      </c>
      <c r="G126" s="4">
        <v>-6.5934065934065797E-2</v>
      </c>
      <c r="H126" s="6">
        <f>H127+Table1[[#This Row],[PnL ($)]]</f>
        <v>21811.999999999956</v>
      </c>
      <c r="I126" s="2">
        <v>1.82</v>
      </c>
      <c r="J126" s="2">
        <v>1.94</v>
      </c>
      <c r="K126" s="5">
        <v>7</v>
      </c>
      <c r="L126">
        <v>0</v>
      </c>
    </row>
    <row r="127" spans="1:12" x14ac:dyDescent="0.4">
      <c r="A127" t="s">
        <v>125</v>
      </c>
      <c r="B127" s="1">
        <v>45421</v>
      </c>
      <c r="C127" s="1">
        <v>45422</v>
      </c>
      <c r="D127" t="s">
        <v>15</v>
      </c>
      <c r="E127" t="s">
        <v>13</v>
      </c>
      <c r="F127" s="3">
        <v>84</v>
      </c>
      <c r="G127" s="4">
        <v>7.4999999999999997E-2</v>
      </c>
      <c r="H127" s="6">
        <f>H128+Table1[[#This Row],[PnL ($)]]</f>
        <v>21895.999999999956</v>
      </c>
      <c r="I127" s="2">
        <v>1.6</v>
      </c>
      <c r="J127" s="2">
        <v>1.48</v>
      </c>
      <c r="K127" s="5">
        <v>7</v>
      </c>
      <c r="L127">
        <v>1</v>
      </c>
    </row>
    <row r="128" spans="1:12" x14ac:dyDescent="0.4">
      <c r="A128" t="s">
        <v>126</v>
      </c>
      <c r="B128" s="1">
        <v>45420</v>
      </c>
      <c r="C128" s="1">
        <v>45421</v>
      </c>
      <c r="D128" t="s">
        <v>17</v>
      </c>
      <c r="E128" t="s">
        <v>13</v>
      </c>
      <c r="F128" s="3">
        <v>-923.99999999999898</v>
      </c>
      <c r="G128" s="4">
        <v>-0.532258064516129</v>
      </c>
      <c r="H128" s="6">
        <f>H129+Table1[[#This Row],[PnL ($)]]</f>
        <v>21811.999999999956</v>
      </c>
      <c r="I128" s="2">
        <v>2.48</v>
      </c>
      <c r="J128" s="2">
        <v>3.8</v>
      </c>
      <c r="K128" s="5">
        <v>7</v>
      </c>
      <c r="L128">
        <v>1</v>
      </c>
    </row>
    <row r="129" spans="1:12" x14ac:dyDescent="0.4">
      <c r="A129" t="s">
        <v>124</v>
      </c>
      <c r="B129" s="1">
        <v>45419</v>
      </c>
      <c r="C129" s="1">
        <v>45420</v>
      </c>
      <c r="D129" t="s">
        <v>15</v>
      </c>
      <c r="E129" t="s">
        <v>13</v>
      </c>
      <c r="F129" s="3">
        <v>588</v>
      </c>
      <c r="G129" s="4">
        <v>0.40776699029126201</v>
      </c>
      <c r="H129" s="6">
        <f>H130+Table1[[#This Row],[PnL ($)]]</f>
        <v>22735.999999999956</v>
      </c>
      <c r="I129" s="2">
        <v>2.06</v>
      </c>
      <c r="J129" s="2">
        <v>1.22</v>
      </c>
      <c r="K129" s="5">
        <v>7</v>
      </c>
      <c r="L129">
        <v>1</v>
      </c>
    </row>
    <row r="130" spans="1:12" x14ac:dyDescent="0.4">
      <c r="A130" t="s">
        <v>123</v>
      </c>
      <c r="B130" s="1">
        <v>45419</v>
      </c>
      <c r="C130" s="1">
        <v>45419</v>
      </c>
      <c r="D130" t="s">
        <v>17</v>
      </c>
      <c r="E130" t="s">
        <v>13</v>
      </c>
      <c r="F130" s="3">
        <v>-98</v>
      </c>
      <c r="G130" s="4">
        <v>-6.14035087719298E-2</v>
      </c>
      <c r="H130" s="6">
        <f>H131+Table1[[#This Row],[PnL ($)]]</f>
        <v>22147.999999999956</v>
      </c>
      <c r="I130" s="2">
        <v>2.2799999999999998</v>
      </c>
      <c r="J130" s="2">
        <v>2.42</v>
      </c>
      <c r="K130" s="5">
        <v>7</v>
      </c>
      <c r="L130">
        <v>0</v>
      </c>
    </row>
    <row r="131" spans="1:12" x14ac:dyDescent="0.4">
      <c r="A131" t="s">
        <v>126</v>
      </c>
      <c r="B131" s="1">
        <v>45418</v>
      </c>
      <c r="C131" s="1">
        <v>45419</v>
      </c>
      <c r="D131" t="s">
        <v>17</v>
      </c>
      <c r="E131" t="s">
        <v>13</v>
      </c>
      <c r="F131" s="3">
        <v>-784</v>
      </c>
      <c r="G131" s="4">
        <v>-0.46280991735537202</v>
      </c>
      <c r="H131" s="6">
        <f>H132+Table1[[#This Row],[PnL ($)]]</f>
        <v>22245.999999999956</v>
      </c>
      <c r="I131" s="2">
        <v>2.42</v>
      </c>
      <c r="J131" s="2">
        <v>3.54</v>
      </c>
      <c r="K131" s="5">
        <v>7</v>
      </c>
      <c r="L131">
        <v>1</v>
      </c>
    </row>
    <row r="132" spans="1:12" x14ac:dyDescent="0.4">
      <c r="A132" t="s">
        <v>127</v>
      </c>
      <c r="B132" s="1">
        <v>45418</v>
      </c>
      <c r="C132" s="1">
        <v>45418</v>
      </c>
      <c r="D132" t="s">
        <v>15</v>
      </c>
      <c r="E132" t="s">
        <v>13</v>
      </c>
      <c r="F132" s="3">
        <v>14</v>
      </c>
      <c r="G132" s="4">
        <v>6.17283950617284E-3</v>
      </c>
      <c r="H132" s="6">
        <f>H133+Table1[[#This Row],[PnL ($)]]</f>
        <v>23029.999999999956</v>
      </c>
      <c r="I132" s="2">
        <v>3.24</v>
      </c>
      <c r="J132" s="2">
        <v>3.22</v>
      </c>
      <c r="K132" s="5">
        <v>7</v>
      </c>
      <c r="L132">
        <v>0</v>
      </c>
    </row>
    <row r="133" spans="1:12" x14ac:dyDescent="0.4">
      <c r="A133" t="s">
        <v>128</v>
      </c>
      <c r="B133" s="1">
        <v>45415</v>
      </c>
      <c r="C133" s="1">
        <v>45418</v>
      </c>
      <c r="D133" t="s">
        <v>17</v>
      </c>
      <c r="E133" t="s">
        <v>13</v>
      </c>
      <c r="F133" s="3">
        <v>-784</v>
      </c>
      <c r="G133" s="4">
        <v>-0.404332129963899</v>
      </c>
      <c r="H133" s="6">
        <f>H134+Table1[[#This Row],[PnL ($)]]</f>
        <v>23015.999999999956</v>
      </c>
      <c r="I133" s="2">
        <v>2.77</v>
      </c>
      <c r="J133" s="2">
        <v>3.89</v>
      </c>
      <c r="K133" s="5">
        <v>7</v>
      </c>
      <c r="L133">
        <v>3</v>
      </c>
    </row>
    <row r="134" spans="1:12" x14ac:dyDescent="0.4">
      <c r="A134" t="s">
        <v>129</v>
      </c>
      <c r="B134" s="1">
        <v>45414</v>
      </c>
      <c r="C134" s="1">
        <v>45415</v>
      </c>
      <c r="D134" t="s">
        <v>17</v>
      </c>
      <c r="E134" t="s">
        <v>13</v>
      </c>
      <c r="F134" s="3">
        <v>-840</v>
      </c>
      <c r="G134" s="4">
        <v>-0.677966101694915</v>
      </c>
      <c r="H134" s="6">
        <f>H135+Table1[[#This Row],[PnL ($)]]</f>
        <v>23799.999999999956</v>
      </c>
      <c r="I134" s="2">
        <v>1.77</v>
      </c>
      <c r="J134" s="2">
        <v>2.97</v>
      </c>
      <c r="K134" s="5">
        <v>7</v>
      </c>
      <c r="L134">
        <v>1</v>
      </c>
    </row>
    <row r="135" spans="1:12" x14ac:dyDescent="0.4">
      <c r="A135" t="s">
        <v>130</v>
      </c>
      <c r="B135" s="1">
        <v>45414</v>
      </c>
      <c r="C135" s="1">
        <v>45414</v>
      </c>
      <c r="D135" t="s">
        <v>352</v>
      </c>
      <c r="E135" t="s">
        <v>13</v>
      </c>
      <c r="F135" s="3">
        <v>0</v>
      </c>
      <c r="G135" s="4">
        <v>0</v>
      </c>
      <c r="H135" s="6">
        <f>H136+Table1[[#This Row],[PnL ($)]]</f>
        <v>24639.999999999956</v>
      </c>
      <c r="I135" s="2">
        <v>1.23</v>
      </c>
      <c r="J135" s="2">
        <v>1.23</v>
      </c>
      <c r="K135" s="5">
        <v>7</v>
      </c>
      <c r="L135">
        <v>0</v>
      </c>
    </row>
    <row r="136" spans="1:12" x14ac:dyDescent="0.4">
      <c r="A136" t="s">
        <v>131</v>
      </c>
      <c r="B136" s="1">
        <v>45413</v>
      </c>
      <c r="C136" s="1">
        <v>45414</v>
      </c>
      <c r="D136" t="s">
        <v>17</v>
      </c>
      <c r="E136" t="s">
        <v>13</v>
      </c>
      <c r="F136" s="3">
        <v>-1001</v>
      </c>
      <c r="G136" s="4">
        <v>-0.421828908554572</v>
      </c>
      <c r="H136" s="6">
        <f>H137+Table1[[#This Row],[PnL ($)]]</f>
        <v>24639.999999999956</v>
      </c>
      <c r="I136" s="2">
        <v>3.39</v>
      </c>
      <c r="J136" s="2">
        <v>4.82</v>
      </c>
      <c r="K136" s="5">
        <v>7</v>
      </c>
      <c r="L136">
        <v>1</v>
      </c>
    </row>
    <row r="137" spans="1:12" x14ac:dyDescent="0.4">
      <c r="A137" t="s">
        <v>132</v>
      </c>
      <c r="B137" s="1">
        <v>45413</v>
      </c>
      <c r="C137" s="1">
        <v>45413</v>
      </c>
      <c r="D137" t="s">
        <v>17</v>
      </c>
      <c r="E137" t="s">
        <v>13</v>
      </c>
      <c r="F137" s="3">
        <v>-18.999999999999599</v>
      </c>
      <c r="G137" s="4">
        <v>-5.7228915662649602E-3</v>
      </c>
      <c r="H137" s="6">
        <f>H138+Table1[[#This Row],[PnL ($)]]</f>
        <v>25640.999999999956</v>
      </c>
      <c r="I137" s="2">
        <v>4.7428571428571402</v>
      </c>
      <c r="J137" s="2">
        <v>4.7699999999999996</v>
      </c>
      <c r="K137" s="5">
        <v>7</v>
      </c>
      <c r="L137">
        <v>0</v>
      </c>
    </row>
    <row r="138" spans="1:12" x14ac:dyDescent="0.4">
      <c r="A138" t="s">
        <v>133</v>
      </c>
      <c r="B138" s="1">
        <v>45412</v>
      </c>
      <c r="C138" s="1">
        <v>45413</v>
      </c>
      <c r="D138" t="s">
        <v>15</v>
      </c>
      <c r="E138" t="s">
        <v>13</v>
      </c>
      <c r="F138" s="3">
        <v>1302</v>
      </c>
      <c r="G138" s="4">
        <v>0.63481228668941903</v>
      </c>
      <c r="H138" s="6">
        <f>H139+Table1[[#This Row],[PnL ($)]]</f>
        <v>25659.999999999956</v>
      </c>
      <c r="I138" s="2">
        <v>2.93</v>
      </c>
      <c r="J138" s="2">
        <v>1.07</v>
      </c>
      <c r="K138" s="5">
        <v>7</v>
      </c>
      <c r="L138">
        <v>1</v>
      </c>
    </row>
    <row r="139" spans="1:12" x14ac:dyDescent="0.4">
      <c r="A139" t="s">
        <v>134</v>
      </c>
      <c r="B139" s="1">
        <v>45412</v>
      </c>
      <c r="C139" s="1">
        <v>45412</v>
      </c>
      <c r="D139" t="s">
        <v>15</v>
      </c>
      <c r="E139" t="s">
        <v>13</v>
      </c>
      <c r="F139" s="3">
        <v>112</v>
      </c>
      <c r="G139" s="4">
        <v>4.8338368580060402E-2</v>
      </c>
      <c r="H139" s="6">
        <f>H140+Table1[[#This Row],[PnL ($)]]</f>
        <v>24357.999999999956</v>
      </c>
      <c r="I139" s="2">
        <v>3.31</v>
      </c>
      <c r="J139" s="2">
        <v>3.15</v>
      </c>
      <c r="K139" s="5">
        <v>7</v>
      </c>
      <c r="L139">
        <v>0</v>
      </c>
    </row>
    <row r="140" spans="1:12" x14ac:dyDescent="0.4">
      <c r="A140" t="s">
        <v>135</v>
      </c>
      <c r="B140" s="1">
        <v>45408</v>
      </c>
      <c r="C140" s="1">
        <v>45412</v>
      </c>
      <c r="D140" t="s">
        <v>15</v>
      </c>
      <c r="E140" t="s">
        <v>13</v>
      </c>
      <c r="F140" s="3">
        <v>588</v>
      </c>
      <c r="G140" s="4">
        <v>0.42211055276381898</v>
      </c>
      <c r="H140" s="6">
        <f>H141+Table1[[#This Row],[PnL ($)]]</f>
        <v>24245.999999999956</v>
      </c>
      <c r="I140" s="2">
        <v>1.99</v>
      </c>
      <c r="J140" s="2">
        <v>1.1499999999999999</v>
      </c>
      <c r="K140" s="5">
        <v>7</v>
      </c>
      <c r="L140">
        <v>4</v>
      </c>
    </row>
    <row r="141" spans="1:12" x14ac:dyDescent="0.4">
      <c r="A141" t="s">
        <v>137</v>
      </c>
      <c r="B141" s="1">
        <v>45408</v>
      </c>
      <c r="C141" s="1">
        <v>45408</v>
      </c>
      <c r="D141" t="s">
        <v>15</v>
      </c>
      <c r="E141" t="s">
        <v>13</v>
      </c>
      <c r="F141" s="3">
        <v>5.9999999999996003</v>
      </c>
      <c r="G141" s="4">
        <v>2.6548672566369899E-3</v>
      </c>
      <c r="H141" s="6">
        <f>H142+Table1[[#This Row],[PnL ($)]]</f>
        <v>23657.999999999956</v>
      </c>
      <c r="I141" s="2">
        <v>3.2285714285714202</v>
      </c>
      <c r="J141" s="2">
        <v>3.22</v>
      </c>
      <c r="K141" s="5">
        <v>7</v>
      </c>
      <c r="L141">
        <v>0</v>
      </c>
    </row>
    <row r="142" spans="1:12" x14ac:dyDescent="0.4">
      <c r="A142" t="s">
        <v>136</v>
      </c>
      <c r="B142" s="1">
        <v>45408</v>
      </c>
      <c r="C142" s="1">
        <v>45408</v>
      </c>
      <c r="D142" t="s">
        <v>17</v>
      </c>
      <c r="E142" t="s">
        <v>13</v>
      </c>
      <c r="F142" s="3">
        <v>-950.99999999999898</v>
      </c>
      <c r="G142" s="4">
        <v>-0.46847290640394001</v>
      </c>
      <c r="H142" s="6">
        <f>H143+Table1[[#This Row],[PnL ($)]]</f>
        <v>23651.999999999956</v>
      </c>
      <c r="I142" s="2">
        <v>2.9</v>
      </c>
      <c r="J142" s="2">
        <v>4.25857142857142</v>
      </c>
      <c r="K142" s="5">
        <v>7</v>
      </c>
      <c r="L142">
        <v>0</v>
      </c>
    </row>
    <row r="143" spans="1:12" x14ac:dyDescent="0.4">
      <c r="A143" t="s">
        <v>138</v>
      </c>
      <c r="B143" s="1">
        <v>45407</v>
      </c>
      <c r="C143" s="1">
        <v>45408</v>
      </c>
      <c r="D143" t="s">
        <v>17</v>
      </c>
      <c r="E143" t="s">
        <v>13</v>
      </c>
      <c r="F143" s="3">
        <v>-979.99999999999898</v>
      </c>
      <c r="G143" s="4">
        <v>-0.57377049180327799</v>
      </c>
      <c r="H143" s="6">
        <f>H144+Table1[[#This Row],[PnL ($)]]</f>
        <v>24602.999999999956</v>
      </c>
      <c r="I143" s="2">
        <v>2.44</v>
      </c>
      <c r="J143" s="2">
        <v>3.84</v>
      </c>
      <c r="K143" s="5">
        <v>7</v>
      </c>
      <c r="L143">
        <v>1</v>
      </c>
    </row>
    <row r="144" spans="1:12" x14ac:dyDescent="0.4">
      <c r="A144" t="s">
        <v>137</v>
      </c>
      <c r="B144" s="1">
        <v>45405</v>
      </c>
      <c r="C144" s="1">
        <v>45407</v>
      </c>
      <c r="D144" t="s">
        <v>15</v>
      </c>
      <c r="E144" t="s">
        <v>13</v>
      </c>
      <c r="F144" s="3">
        <v>790.99999999999898</v>
      </c>
      <c r="G144" s="4">
        <v>0.46311475409836</v>
      </c>
      <c r="H144" s="6">
        <f>H145+Table1[[#This Row],[PnL ($)]]</f>
        <v>25582.999999999956</v>
      </c>
      <c r="I144" s="2">
        <v>2.44</v>
      </c>
      <c r="J144" s="2">
        <v>1.31</v>
      </c>
      <c r="K144" s="5">
        <v>7</v>
      </c>
      <c r="L144">
        <v>2</v>
      </c>
    </row>
    <row r="145" spans="1:12" x14ac:dyDescent="0.4">
      <c r="A145" t="s">
        <v>139</v>
      </c>
      <c r="B145" s="1">
        <v>45404</v>
      </c>
      <c r="C145" s="1">
        <v>45405</v>
      </c>
      <c r="D145" t="s">
        <v>17</v>
      </c>
      <c r="E145" t="s">
        <v>13</v>
      </c>
      <c r="F145" s="3">
        <v>-1610</v>
      </c>
      <c r="G145" s="4">
        <v>-0.84249084249084205</v>
      </c>
      <c r="H145" s="6">
        <f>H146+Table1[[#This Row],[PnL ($)]]</f>
        <v>24791.999999999956</v>
      </c>
      <c r="I145" s="2">
        <v>2.73</v>
      </c>
      <c r="J145" s="2">
        <v>5.03</v>
      </c>
      <c r="K145" s="5">
        <v>7</v>
      </c>
      <c r="L145">
        <v>1</v>
      </c>
    </row>
    <row r="146" spans="1:12" x14ac:dyDescent="0.4">
      <c r="A146" t="s">
        <v>140</v>
      </c>
      <c r="B146" s="1">
        <v>45401</v>
      </c>
      <c r="C146" s="1">
        <v>45404</v>
      </c>
      <c r="D146" t="s">
        <v>15</v>
      </c>
      <c r="E146" t="s">
        <v>13</v>
      </c>
      <c r="F146" s="3">
        <v>384.99999999999898</v>
      </c>
      <c r="G146" s="4">
        <v>0.19927536231883999</v>
      </c>
      <c r="H146" s="6">
        <f>H147+Table1[[#This Row],[PnL ($)]]</f>
        <v>26401.999999999956</v>
      </c>
      <c r="I146" s="2">
        <v>2.76</v>
      </c>
      <c r="J146" s="2">
        <v>2.21</v>
      </c>
      <c r="K146" s="5">
        <v>7</v>
      </c>
      <c r="L146">
        <v>3</v>
      </c>
    </row>
    <row r="147" spans="1:12" x14ac:dyDescent="0.4">
      <c r="A147" t="s">
        <v>141</v>
      </c>
      <c r="B147" s="1">
        <v>45399</v>
      </c>
      <c r="C147" s="1">
        <v>45401</v>
      </c>
      <c r="D147" t="s">
        <v>15</v>
      </c>
      <c r="E147" t="s">
        <v>13</v>
      </c>
      <c r="F147" s="3">
        <v>980</v>
      </c>
      <c r="G147" s="4">
        <v>0.58091286307053902</v>
      </c>
      <c r="H147" s="6">
        <f>H148+Table1[[#This Row],[PnL ($)]]</f>
        <v>26016.999999999956</v>
      </c>
      <c r="I147" s="2">
        <v>2.41</v>
      </c>
      <c r="J147" s="2">
        <v>1.01</v>
      </c>
      <c r="K147" s="5">
        <v>7</v>
      </c>
      <c r="L147">
        <v>2</v>
      </c>
    </row>
    <row r="148" spans="1:12" x14ac:dyDescent="0.4">
      <c r="A148" t="s">
        <v>142</v>
      </c>
      <c r="B148" s="1">
        <v>45398</v>
      </c>
      <c r="C148" s="1">
        <v>45399</v>
      </c>
      <c r="D148" t="s">
        <v>15</v>
      </c>
      <c r="E148" t="s">
        <v>13</v>
      </c>
      <c r="F148" s="3">
        <v>1309</v>
      </c>
      <c r="G148" s="4">
        <v>0.50815217391304301</v>
      </c>
      <c r="H148" s="6">
        <f>H149+Table1[[#This Row],[PnL ($)]]</f>
        <v>25036.999999999956</v>
      </c>
      <c r="I148" s="2">
        <v>3.68</v>
      </c>
      <c r="J148" s="2">
        <v>1.81</v>
      </c>
      <c r="K148" s="5">
        <v>7</v>
      </c>
      <c r="L148">
        <v>1</v>
      </c>
    </row>
    <row r="149" spans="1:12" x14ac:dyDescent="0.4">
      <c r="A149" t="s">
        <v>143</v>
      </c>
      <c r="B149" s="1">
        <v>45397</v>
      </c>
      <c r="C149" s="1">
        <v>45398</v>
      </c>
      <c r="D149" t="s">
        <v>15</v>
      </c>
      <c r="E149" t="s">
        <v>13</v>
      </c>
      <c r="F149" s="3">
        <v>356.99999999999898</v>
      </c>
      <c r="G149" s="4">
        <v>0.172881355932203</v>
      </c>
      <c r="H149" s="6">
        <f>H150+Table1[[#This Row],[PnL ($)]]</f>
        <v>23727.999999999956</v>
      </c>
      <c r="I149" s="2">
        <v>2.95</v>
      </c>
      <c r="J149" s="2">
        <v>2.44</v>
      </c>
      <c r="K149" s="5">
        <v>7</v>
      </c>
      <c r="L149">
        <v>1</v>
      </c>
    </row>
    <row r="150" spans="1:12" x14ac:dyDescent="0.4">
      <c r="A150" t="s">
        <v>145</v>
      </c>
      <c r="B150" s="1">
        <v>45397</v>
      </c>
      <c r="C150" s="1">
        <v>45397</v>
      </c>
      <c r="D150" t="s">
        <v>15</v>
      </c>
      <c r="E150" t="s">
        <v>13</v>
      </c>
      <c r="F150" s="3">
        <v>150</v>
      </c>
      <c r="G150" s="4">
        <v>0.169491525423728</v>
      </c>
      <c r="H150" s="6">
        <f>H151+Table1[[#This Row],[PnL ($)]]</f>
        <v>23370.999999999956</v>
      </c>
      <c r="I150" s="2">
        <v>1.26428571428571</v>
      </c>
      <c r="J150" s="2">
        <v>1.05</v>
      </c>
      <c r="K150" s="5">
        <v>7</v>
      </c>
      <c r="L150">
        <v>0</v>
      </c>
    </row>
    <row r="151" spans="1:12" x14ac:dyDescent="0.4">
      <c r="A151" t="s">
        <v>144</v>
      </c>
      <c r="B151" s="1">
        <v>45394</v>
      </c>
      <c r="C151" s="1">
        <v>45397</v>
      </c>
      <c r="D151" t="s">
        <v>15</v>
      </c>
      <c r="E151" t="s">
        <v>13</v>
      </c>
      <c r="F151" s="3">
        <v>1053.99999999999</v>
      </c>
      <c r="G151" s="4">
        <v>0.298161244695898</v>
      </c>
      <c r="H151" s="6">
        <f>H152+Table1[[#This Row],[PnL ($)]]</f>
        <v>23220.999999999956</v>
      </c>
      <c r="I151" s="2">
        <v>2.5249999999999999</v>
      </c>
      <c r="J151" s="2">
        <v>1.7721428571428499</v>
      </c>
      <c r="K151" s="5">
        <v>14</v>
      </c>
      <c r="L151">
        <v>3</v>
      </c>
    </row>
    <row r="152" spans="1:12" x14ac:dyDescent="0.4">
      <c r="A152" t="s">
        <v>146</v>
      </c>
      <c r="B152" s="1">
        <v>45393</v>
      </c>
      <c r="C152" s="1">
        <v>45394</v>
      </c>
      <c r="D152" t="s">
        <v>15</v>
      </c>
      <c r="E152" t="s">
        <v>13</v>
      </c>
      <c r="F152" s="3">
        <v>952</v>
      </c>
      <c r="G152" s="4">
        <v>0.60444444444444401</v>
      </c>
      <c r="H152" s="6">
        <f>H153+Table1[[#This Row],[PnL ($)]]</f>
        <v>22166.999999999967</v>
      </c>
      <c r="I152" s="2">
        <v>2.25</v>
      </c>
      <c r="J152" s="2">
        <v>0.89</v>
      </c>
      <c r="K152" s="5">
        <v>7</v>
      </c>
      <c r="L152">
        <v>1</v>
      </c>
    </row>
    <row r="153" spans="1:12" x14ac:dyDescent="0.4">
      <c r="A153" t="s">
        <v>145</v>
      </c>
      <c r="B153" s="1">
        <v>45392</v>
      </c>
      <c r="C153" s="1">
        <v>45393</v>
      </c>
      <c r="D153" t="s">
        <v>17</v>
      </c>
      <c r="E153" t="s">
        <v>13</v>
      </c>
      <c r="F153" s="3">
        <v>-448</v>
      </c>
      <c r="G153" s="4">
        <v>-0.25600000000000001</v>
      </c>
      <c r="H153" s="6">
        <f>H154+Table1[[#This Row],[PnL ($)]]</f>
        <v>21214.999999999967</v>
      </c>
      <c r="I153" s="2">
        <v>2.5</v>
      </c>
      <c r="J153" s="2">
        <v>3.14</v>
      </c>
      <c r="K153" s="5">
        <v>7</v>
      </c>
      <c r="L153">
        <v>1</v>
      </c>
    </row>
    <row r="154" spans="1:12" x14ac:dyDescent="0.4">
      <c r="A154" t="s">
        <v>147</v>
      </c>
      <c r="B154" s="1">
        <v>45391</v>
      </c>
      <c r="C154" s="1">
        <v>45392</v>
      </c>
      <c r="D154" t="s">
        <v>15</v>
      </c>
      <c r="E154" t="s">
        <v>13</v>
      </c>
      <c r="F154" s="3">
        <v>1134</v>
      </c>
      <c r="G154" s="4">
        <v>0.62068965517241304</v>
      </c>
      <c r="H154" s="6">
        <f>H155+Table1[[#This Row],[PnL ($)]]</f>
        <v>21662.999999999967</v>
      </c>
      <c r="I154" s="2">
        <v>2.61</v>
      </c>
      <c r="J154" s="2">
        <v>0.99</v>
      </c>
      <c r="K154" s="5">
        <v>7</v>
      </c>
      <c r="L154">
        <v>1</v>
      </c>
    </row>
    <row r="155" spans="1:12" x14ac:dyDescent="0.4">
      <c r="A155" t="s">
        <v>145</v>
      </c>
      <c r="B155" s="1">
        <v>45391</v>
      </c>
      <c r="C155" s="1">
        <v>45391</v>
      </c>
      <c r="D155" t="s">
        <v>17</v>
      </c>
      <c r="E155" t="s">
        <v>13</v>
      </c>
      <c r="F155" s="3">
        <v>-279.99999999999898</v>
      </c>
      <c r="G155" s="4">
        <v>-0.116959064327485</v>
      </c>
      <c r="H155" s="6">
        <f>H156+Table1[[#This Row],[PnL ($)]]</f>
        <v>20528.999999999967</v>
      </c>
      <c r="I155" s="2">
        <v>3.42</v>
      </c>
      <c r="J155" s="2">
        <v>3.82</v>
      </c>
      <c r="K155" s="5">
        <v>7</v>
      </c>
      <c r="L155">
        <v>0</v>
      </c>
    </row>
    <row r="156" spans="1:12" x14ac:dyDescent="0.4">
      <c r="A156" t="s">
        <v>146</v>
      </c>
      <c r="B156" s="1">
        <v>45391</v>
      </c>
      <c r="C156" s="1">
        <v>45391</v>
      </c>
      <c r="D156" t="s">
        <v>17</v>
      </c>
      <c r="E156" t="s">
        <v>13</v>
      </c>
      <c r="F156" s="3">
        <v>-783.99999999999898</v>
      </c>
      <c r="G156" s="4">
        <v>-0.38620689655172402</v>
      </c>
      <c r="H156" s="6">
        <f>H157+Table1[[#This Row],[PnL ($)]]</f>
        <v>20808.999999999967</v>
      </c>
      <c r="I156" s="2">
        <v>2.9</v>
      </c>
      <c r="J156" s="2">
        <v>4.0199999999999996</v>
      </c>
      <c r="K156" s="5">
        <v>7</v>
      </c>
      <c r="L156">
        <v>0</v>
      </c>
    </row>
    <row r="157" spans="1:12" x14ac:dyDescent="0.4">
      <c r="A157" t="s">
        <v>148</v>
      </c>
      <c r="B157" s="1">
        <v>45387</v>
      </c>
      <c r="C157" s="1">
        <v>45391</v>
      </c>
      <c r="D157" t="s">
        <v>15</v>
      </c>
      <c r="E157" t="s">
        <v>13</v>
      </c>
      <c r="F157" s="3">
        <v>784</v>
      </c>
      <c r="G157" s="4">
        <v>0.65882352941176403</v>
      </c>
      <c r="H157" s="6">
        <f>H158+Table1[[#This Row],[PnL ($)]]</f>
        <v>21592.999999999967</v>
      </c>
      <c r="I157" s="2">
        <v>1.7</v>
      </c>
      <c r="J157" s="2">
        <v>0.57999999999999996</v>
      </c>
      <c r="K157" s="5">
        <v>7</v>
      </c>
      <c r="L157">
        <v>4</v>
      </c>
    </row>
    <row r="158" spans="1:12" x14ac:dyDescent="0.4">
      <c r="A158" t="s">
        <v>149</v>
      </c>
      <c r="B158" s="1">
        <v>45387</v>
      </c>
      <c r="C158" s="1">
        <v>45387</v>
      </c>
      <c r="D158" t="s">
        <v>17</v>
      </c>
      <c r="E158" t="s">
        <v>13</v>
      </c>
      <c r="F158" s="3">
        <v>-483</v>
      </c>
      <c r="G158" s="4">
        <v>-0.31651376146788901</v>
      </c>
      <c r="H158" s="6">
        <f>H159+Table1[[#This Row],[PnL ($)]]</f>
        <v>20808.999999999967</v>
      </c>
      <c r="I158" s="2">
        <v>2.1800000000000002</v>
      </c>
      <c r="J158" s="2">
        <v>2.87</v>
      </c>
      <c r="K158" s="5">
        <v>7</v>
      </c>
      <c r="L158">
        <v>0</v>
      </c>
    </row>
    <row r="159" spans="1:12" x14ac:dyDescent="0.4">
      <c r="A159" t="s">
        <v>150</v>
      </c>
      <c r="B159" s="1">
        <v>45386</v>
      </c>
      <c r="C159" s="1">
        <v>45387</v>
      </c>
      <c r="D159" t="s">
        <v>17</v>
      </c>
      <c r="E159" t="s">
        <v>13</v>
      </c>
      <c r="F159" s="3">
        <v>-519</v>
      </c>
      <c r="G159" s="4">
        <v>-0.26683804627249302</v>
      </c>
      <c r="H159" s="6">
        <f>H160+Table1[[#This Row],[PnL ($)]]</f>
        <v>21291.999999999967</v>
      </c>
      <c r="I159" s="2">
        <v>2.77857142857142</v>
      </c>
      <c r="J159" s="2">
        <v>3.52</v>
      </c>
      <c r="K159" s="5">
        <v>7</v>
      </c>
      <c r="L159">
        <v>1</v>
      </c>
    </row>
    <row r="160" spans="1:12" x14ac:dyDescent="0.4">
      <c r="A160" t="s">
        <v>151</v>
      </c>
      <c r="B160" s="1">
        <v>45386</v>
      </c>
      <c r="C160" s="1">
        <v>45386</v>
      </c>
      <c r="D160" t="s">
        <v>15</v>
      </c>
      <c r="E160" t="s">
        <v>13</v>
      </c>
      <c r="F160" s="3">
        <v>498</v>
      </c>
      <c r="G160" s="4">
        <v>0.263492063492063</v>
      </c>
      <c r="H160" s="6">
        <f>H161+Table1[[#This Row],[PnL ($)]]</f>
        <v>21810.999999999967</v>
      </c>
      <c r="I160" s="2">
        <v>2.7</v>
      </c>
      <c r="J160" s="2">
        <v>1.98857142857142</v>
      </c>
      <c r="K160" s="5">
        <v>7</v>
      </c>
      <c r="L160">
        <v>0</v>
      </c>
    </row>
    <row r="161" spans="1:12" x14ac:dyDescent="0.4">
      <c r="A161" t="s">
        <v>148</v>
      </c>
      <c r="B161" s="1">
        <v>45385</v>
      </c>
      <c r="C161" s="1">
        <v>45386</v>
      </c>
      <c r="D161" t="s">
        <v>15</v>
      </c>
      <c r="E161" t="s">
        <v>13</v>
      </c>
      <c r="F161" s="3">
        <v>700</v>
      </c>
      <c r="G161" s="4">
        <v>0.40983606557377</v>
      </c>
      <c r="H161" s="6">
        <f>H162+Table1[[#This Row],[PnL ($)]]</f>
        <v>21312.999999999967</v>
      </c>
      <c r="I161" s="2">
        <v>2.44</v>
      </c>
      <c r="J161" s="2">
        <v>1.44</v>
      </c>
      <c r="K161" s="5">
        <v>7</v>
      </c>
      <c r="L161">
        <v>1</v>
      </c>
    </row>
    <row r="162" spans="1:12" x14ac:dyDescent="0.4">
      <c r="A162" t="s">
        <v>152</v>
      </c>
      <c r="B162" s="1">
        <v>45384</v>
      </c>
      <c r="C162" s="1">
        <v>45385</v>
      </c>
      <c r="D162" t="s">
        <v>17</v>
      </c>
      <c r="E162" t="s">
        <v>13</v>
      </c>
      <c r="F162" s="3">
        <v>-678.99999999999898</v>
      </c>
      <c r="G162" s="4">
        <v>-0.414529914529914</v>
      </c>
      <c r="H162" s="6">
        <f>H163+Table1[[#This Row],[PnL ($)]]</f>
        <v>20612.999999999967</v>
      </c>
      <c r="I162" s="2">
        <v>2.34</v>
      </c>
      <c r="J162" s="2">
        <v>3.3099999999999898</v>
      </c>
      <c r="K162" s="5">
        <v>7</v>
      </c>
      <c r="L162">
        <v>1</v>
      </c>
    </row>
    <row r="163" spans="1:12" x14ac:dyDescent="0.4">
      <c r="A163" t="s">
        <v>153</v>
      </c>
      <c r="B163" s="1">
        <v>45383</v>
      </c>
      <c r="C163" s="1">
        <v>45384</v>
      </c>
      <c r="D163" t="s">
        <v>15</v>
      </c>
      <c r="E163" t="s">
        <v>13</v>
      </c>
      <c r="F163" s="3">
        <v>504</v>
      </c>
      <c r="G163" s="4">
        <v>0.679245283018867</v>
      </c>
      <c r="H163" s="6">
        <f>H164+Table1[[#This Row],[PnL ($)]]</f>
        <v>21291.999999999967</v>
      </c>
      <c r="I163" s="2">
        <v>1.06</v>
      </c>
      <c r="J163" s="2">
        <v>0.34</v>
      </c>
      <c r="K163" s="5">
        <v>7</v>
      </c>
      <c r="L163">
        <v>1</v>
      </c>
    </row>
    <row r="164" spans="1:12" x14ac:dyDescent="0.4">
      <c r="A164" t="s">
        <v>154</v>
      </c>
      <c r="B164" s="1">
        <v>45379</v>
      </c>
      <c r="C164" s="1">
        <v>45383</v>
      </c>
      <c r="D164" t="s">
        <v>15</v>
      </c>
      <c r="E164" t="s">
        <v>13</v>
      </c>
      <c r="F164" s="3">
        <v>399</v>
      </c>
      <c r="G164" s="4">
        <v>0.56999999999999995</v>
      </c>
      <c r="H164" s="6">
        <f>H165+Table1[[#This Row],[PnL ($)]]</f>
        <v>20787.999999999967</v>
      </c>
      <c r="I164" s="2">
        <v>1</v>
      </c>
      <c r="J164" s="2">
        <v>0.43</v>
      </c>
      <c r="K164" s="5">
        <v>7</v>
      </c>
      <c r="L164">
        <v>4</v>
      </c>
    </row>
    <row r="165" spans="1:12" x14ac:dyDescent="0.4">
      <c r="A165" t="s">
        <v>155</v>
      </c>
      <c r="B165" s="1">
        <v>45378</v>
      </c>
      <c r="C165" s="1">
        <v>45379</v>
      </c>
      <c r="D165" t="s">
        <v>15</v>
      </c>
      <c r="E165" t="s">
        <v>13</v>
      </c>
      <c r="F165" s="3">
        <v>27.999999999999901</v>
      </c>
      <c r="G165" s="4">
        <v>4.8780487804877898E-2</v>
      </c>
      <c r="H165" s="6">
        <f>H166+Table1[[#This Row],[PnL ($)]]</f>
        <v>20388.999999999967</v>
      </c>
      <c r="I165" s="2">
        <v>0.82</v>
      </c>
      <c r="J165" s="2">
        <v>0.78</v>
      </c>
      <c r="K165" s="5">
        <v>7</v>
      </c>
      <c r="L165">
        <v>1</v>
      </c>
    </row>
    <row r="166" spans="1:12" x14ac:dyDescent="0.4">
      <c r="A166" t="s">
        <v>153</v>
      </c>
      <c r="B166" s="1">
        <v>45377</v>
      </c>
      <c r="C166" s="1">
        <v>45378</v>
      </c>
      <c r="D166" t="s">
        <v>17</v>
      </c>
      <c r="E166" t="s">
        <v>13</v>
      </c>
      <c r="F166" s="3">
        <v>-419.99999999999898</v>
      </c>
      <c r="G166" s="4">
        <v>-0.39735099337748297</v>
      </c>
      <c r="H166" s="6">
        <f>H167+Table1[[#This Row],[PnL ($)]]</f>
        <v>20360.999999999967</v>
      </c>
      <c r="I166" s="2">
        <v>1.51</v>
      </c>
      <c r="J166" s="2">
        <v>2.11</v>
      </c>
      <c r="K166" s="5">
        <v>7</v>
      </c>
      <c r="L166">
        <v>1</v>
      </c>
    </row>
    <row r="167" spans="1:12" x14ac:dyDescent="0.4">
      <c r="A167" t="s">
        <v>156</v>
      </c>
      <c r="B167" s="1">
        <v>45373</v>
      </c>
      <c r="C167" s="1">
        <v>45377</v>
      </c>
      <c r="D167" t="s">
        <v>15</v>
      </c>
      <c r="E167" t="s">
        <v>13</v>
      </c>
      <c r="F167" s="3">
        <v>587.99999999999898</v>
      </c>
      <c r="G167" s="4">
        <v>0.74336283185840701</v>
      </c>
      <c r="H167" s="6">
        <f>H168+Table1[[#This Row],[PnL ($)]]</f>
        <v>20780.999999999967</v>
      </c>
      <c r="I167" s="2">
        <v>1.1299999999999999</v>
      </c>
      <c r="J167" s="2">
        <v>0.28999999999999998</v>
      </c>
      <c r="K167" s="5">
        <v>7</v>
      </c>
      <c r="L167">
        <v>4</v>
      </c>
    </row>
    <row r="168" spans="1:12" x14ac:dyDescent="0.4">
      <c r="A168" t="s">
        <v>157</v>
      </c>
      <c r="B168" s="1">
        <v>45372</v>
      </c>
      <c r="C168" s="1">
        <v>45373</v>
      </c>
      <c r="D168" t="s">
        <v>15</v>
      </c>
      <c r="E168" t="s">
        <v>13</v>
      </c>
      <c r="F168" s="3">
        <v>658</v>
      </c>
      <c r="G168" s="4">
        <v>0.67142857142857104</v>
      </c>
      <c r="H168" s="6">
        <f>H169+Table1[[#This Row],[PnL ($)]]</f>
        <v>20192.999999999967</v>
      </c>
      <c r="I168" s="2">
        <v>1.4</v>
      </c>
      <c r="J168" s="2">
        <v>0.46</v>
      </c>
      <c r="K168" s="5">
        <v>7</v>
      </c>
      <c r="L168">
        <v>1</v>
      </c>
    </row>
    <row r="169" spans="1:12" x14ac:dyDescent="0.4">
      <c r="A169" t="s">
        <v>156</v>
      </c>
      <c r="B169" s="1">
        <v>45371</v>
      </c>
      <c r="C169" s="1">
        <v>45372</v>
      </c>
      <c r="D169" t="s">
        <v>17</v>
      </c>
      <c r="E169" t="s">
        <v>13</v>
      </c>
      <c r="F169" s="3">
        <v>-630</v>
      </c>
      <c r="G169" s="4">
        <v>-0.52631578947368396</v>
      </c>
      <c r="H169" s="6">
        <f>H170+Table1[[#This Row],[PnL ($)]]</f>
        <v>19534.999999999967</v>
      </c>
      <c r="I169" s="2">
        <v>1.70999999999999</v>
      </c>
      <c r="J169" s="2">
        <v>2.61</v>
      </c>
      <c r="K169" s="5">
        <v>7</v>
      </c>
      <c r="L169">
        <v>1</v>
      </c>
    </row>
    <row r="170" spans="1:12" x14ac:dyDescent="0.4">
      <c r="A170" t="s">
        <v>158</v>
      </c>
      <c r="B170" s="1">
        <v>45358</v>
      </c>
      <c r="C170" s="1">
        <v>45372</v>
      </c>
      <c r="D170" t="s">
        <v>15</v>
      </c>
      <c r="E170" t="s">
        <v>71</v>
      </c>
      <c r="F170" s="3">
        <v>5753.99999999999</v>
      </c>
      <c r="G170" s="4">
        <v>0.108029964515705</v>
      </c>
      <c r="H170" s="6">
        <f>H171+Table1[[#This Row],[PnL ($)]]</f>
        <v>20164.999999999967</v>
      </c>
      <c r="I170" s="2">
        <v>76.09</v>
      </c>
      <c r="J170" s="2">
        <v>84.31</v>
      </c>
      <c r="K170" s="5">
        <v>7</v>
      </c>
      <c r="L170">
        <v>14</v>
      </c>
    </row>
    <row r="171" spans="1:12" x14ac:dyDescent="0.4">
      <c r="A171" t="s">
        <v>159</v>
      </c>
      <c r="B171" s="1">
        <v>45370</v>
      </c>
      <c r="C171" s="1">
        <v>45371</v>
      </c>
      <c r="D171" t="s">
        <v>17</v>
      </c>
      <c r="E171" t="s">
        <v>13</v>
      </c>
      <c r="F171" s="3">
        <v>-945</v>
      </c>
      <c r="G171" s="4">
        <v>-1.19469026548672</v>
      </c>
      <c r="H171" s="6">
        <f>H172+Table1[[#This Row],[PnL ($)]]</f>
        <v>14410.999999999976</v>
      </c>
      <c r="I171" s="2">
        <v>1.1299999999999999</v>
      </c>
      <c r="J171" s="2">
        <v>2.48</v>
      </c>
      <c r="K171" s="5">
        <v>7</v>
      </c>
      <c r="L171">
        <v>1</v>
      </c>
    </row>
    <row r="172" spans="1:12" x14ac:dyDescent="0.4">
      <c r="A172" t="s">
        <v>160</v>
      </c>
      <c r="B172" s="1">
        <v>45369</v>
      </c>
      <c r="C172" s="1">
        <v>45370</v>
      </c>
      <c r="D172" t="s">
        <v>15</v>
      </c>
      <c r="E172" t="s">
        <v>13</v>
      </c>
      <c r="F172" s="3">
        <v>7</v>
      </c>
      <c r="G172" s="4">
        <v>5.4945054945054897E-3</v>
      </c>
      <c r="H172" s="6">
        <f>H173+Table1[[#This Row],[PnL ($)]]</f>
        <v>15355.999999999976</v>
      </c>
      <c r="I172" s="2">
        <v>1.82</v>
      </c>
      <c r="J172" s="2">
        <v>1.81</v>
      </c>
      <c r="K172" s="5">
        <v>7</v>
      </c>
      <c r="L172">
        <v>1</v>
      </c>
    </row>
    <row r="173" spans="1:12" x14ac:dyDescent="0.4">
      <c r="A173" t="s">
        <v>161</v>
      </c>
      <c r="B173" s="1">
        <v>45366</v>
      </c>
      <c r="C173" s="1">
        <v>45369</v>
      </c>
      <c r="D173" t="s">
        <v>17</v>
      </c>
      <c r="E173" t="s">
        <v>13</v>
      </c>
      <c r="F173" s="3">
        <v>-595</v>
      </c>
      <c r="G173" s="4">
        <v>-0.37280701754385898</v>
      </c>
      <c r="H173" s="6">
        <f>H174+Table1[[#This Row],[PnL ($)]]</f>
        <v>15348.999999999976</v>
      </c>
      <c r="I173" s="2">
        <v>2.2799999999999998</v>
      </c>
      <c r="J173" s="2">
        <v>3.13</v>
      </c>
      <c r="K173" s="5">
        <v>7</v>
      </c>
      <c r="L173">
        <v>3</v>
      </c>
    </row>
    <row r="174" spans="1:12" x14ac:dyDescent="0.4">
      <c r="A174" t="s">
        <v>162</v>
      </c>
      <c r="B174" s="1">
        <v>45366</v>
      </c>
      <c r="C174" s="1">
        <v>45366</v>
      </c>
      <c r="D174" t="s">
        <v>17</v>
      </c>
      <c r="E174" t="s">
        <v>13</v>
      </c>
      <c r="F174" s="3">
        <v>-97.999999999999901</v>
      </c>
      <c r="G174" s="4">
        <v>-0.31818181818181801</v>
      </c>
      <c r="H174" s="6">
        <f>H175+Table1[[#This Row],[PnL ($)]]</f>
        <v>15943.999999999976</v>
      </c>
      <c r="I174" s="2">
        <v>0.44</v>
      </c>
      <c r="J174" s="2">
        <v>0.57999999999999996</v>
      </c>
      <c r="K174" s="5">
        <v>7</v>
      </c>
      <c r="L174">
        <v>0</v>
      </c>
    </row>
    <row r="175" spans="1:12" x14ac:dyDescent="0.4">
      <c r="A175" t="s">
        <v>159</v>
      </c>
      <c r="B175" s="1">
        <v>45363</v>
      </c>
      <c r="C175" s="1">
        <v>45366</v>
      </c>
      <c r="D175" t="s">
        <v>15</v>
      </c>
      <c r="E175" t="s">
        <v>13</v>
      </c>
      <c r="F175" s="3">
        <v>986.99999999999898</v>
      </c>
      <c r="G175" s="4">
        <v>0.61304347826086902</v>
      </c>
      <c r="H175" s="6">
        <f>H176+Table1[[#This Row],[PnL ($)]]</f>
        <v>16041.999999999976</v>
      </c>
      <c r="I175" s="2">
        <v>2.2999999999999998</v>
      </c>
      <c r="J175" s="2">
        <v>0.89</v>
      </c>
      <c r="K175" s="5">
        <v>7</v>
      </c>
      <c r="L175">
        <v>3</v>
      </c>
    </row>
    <row r="176" spans="1:12" x14ac:dyDescent="0.4">
      <c r="A176" t="s">
        <v>161</v>
      </c>
      <c r="B176" s="1">
        <v>45362</v>
      </c>
      <c r="C176" s="1">
        <v>45363</v>
      </c>
      <c r="D176" t="s">
        <v>17</v>
      </c>
      <c r="E176" t="s">
        <v>13</v>
      </c>
      <c r="F176" s="3">
        <v>-1273.99999999999</v>
      </c>
      <c r="G176" s="4">
        <v>-0.66666666666666596</v>
      </c>
      <c r="H176" s="6">
        <f>H177+Table1[[#This Row],[PnL ($)]]</f>
        <v>15054.999999999978</v>
      </c>
      <c r="I176" s="2">
        <v>2.73</v>
      </c>
      <c r="J176" s="2">
        <v>4.55</v>
      </c>
      <c r="K176" s="5">
        <v>7</v>
      </c>
      <c r="L176">
        <v>1</v>
      </c>
    </row>
    <row r="177" spans="1:12" x14ac:dyDescent="0.4">
      <c r="A177" t="s">
        <v>163</v>
      </c>
      <c r="B177" s="1">
        <v>45359</v>
      </c>
      <c r="C177" s="1">
        <v>45362</v>
      </c>
      <c r="D177" t="s">
        <v>15</v>
      </c>
      <c r="E177" t="s">
        <v>13</v>
      </c>
      <c r="F177" s="3">
        <v>734.99999999999898</v>
      </c>
      <c r="G177" s="4">
        <v>0.483870967741935</v>
      </c>
      <c r="H177" s="6">
        <f>H178+Table1[[#This Row],[PnL ($)]]</f>
        <v>16328.999999999967</v>
      </c>
      <c r="I177" s="2">
        <v>2.17</v>
      </c>
      <c r="J177" s="2">
        <v>1.1200000000000001</v>
      </c>
      <c r="K177" s="5">
        <v>7</v>
      </c>
      <c r="L177">
        <v>3</v>
      </c>
    </row>
    <row r="178" spans="1:12" x14ac:dyDescent="0.4">
      <c r="A178" t="s">
        <v>164</v>
      </c>
      <c r="B178" s="1">
        <v>45359</v>
      </c>
      <c r="C178" s="1">
        <v>45359</v>
      </c>
      <c r="D178" t="s">
        <v>15</v>
      </c>
      <c r="E178" t="s">
        <v>13</v>
      </c>
      <c r="F178" s="3">
        <v>546</v>
      </c>
      <c r="G178" s="4">
        <v>0.624</v>
      </c>
      <c r="H178" s="6">
        <f>H179+Table1[[#This Row],[PnL ($)]]</f>
        <v>15593.999999999969</v>
      </c>
      <c r="I178" s="2">
        <v>1.25</v>
      </c>
      <c r="J178" s="2">
        <v>0.47</v>
      </c>
      <c r="K178" s="5">
        <v>7</v>
      </c>
      <c r="L178">
        <v>0</v>
      </c>
    </row>
    <row r="179" spans="1:12" x14ac:dyDescent="0.4">
      <c r="A179" t="s">
        <v>165</v>
      </c>
      <c r="B179" s="1">
        <v>45358</v>
      </c>
      <c r="C179" s="1">
        <v>45359</v>
      </c>
      <c r="D179" t="s">
        <v>17</v>
      </c>
      <c r="E179" t="s">
        <v>13</v>
      </c>
      <c r="F179" s="3">
        <v>-749</v>
      </c>
      <c r="G179" s="4">
        <v>-0.58152173913043403</v>
      </c>
      <c r="H179" s="6">
        <f>H180+Table1[[#This Row],[PnL ($)]]</f>
        <v>15047.999999999969</v>
      </c>
      <c r="I179" s="2">
        <v>1.84</v>
      </c>
      <c r="J179" s="2">
        <v>2.91</v>
      </c>
      <c r="K179" s="5">
        <v>7</v>
      </c>
      <c r="L179">
        <v>1</v>
      </c>
    </row>
    <row r="180" spans="1:12" x14ac:dyDescent="0.4">
      <c r="A180" t="s">
        <v>167</v>
      </c>
      <c r="B180" s="1">
        <v>45357</v>
      </c>
      <c r="C180" s="1">
        <v>45358</v>
      </c>
      <c r="D180" t="s">
        <v>17</v>
      </c>
      <c r="E180" t="s">
        <v>13</v>
      </c>
      <c r="F180" s="3">
        <v>-895.99999999999898</v>
      </c>
      <c r="G180" s="4">
        <v>-0.831168831168831</v>
      </c>
      <c r="H180" s="6">
        <f>H181+Table1[[#This Row],[PnL ($)]]</f>
        <v>15796.999999999969</v>
      </c>
      <c r="I180" s="2">
        <v>1.54</v>
      </c>
      <c r="J180" s="2">
        <v>2.82</v>
      </c>
      <c r="K180" s="5">
        <v>7</v>
      </c>
      <c r="L180">
        <v>1</v>
      </c>
    </row>
    <row r="181" spans="1:12" x14ac:dyDescent="0.4">
      <c r="A181" t="s">
        <v>166</v>
      </c>
      <c r="B181" s="1">
        <v>45345</v>
      </c>
      <c r="C181" s="1">
        <v>45358</v>
      </c>
      <c r="D181" t="s">
        <v>15</v>
      </c>
      <c r="E181" t="s">
        <v>71</v>
      </c>
      <c r="F181" s="3">
        <v>2142</v>
      </c>
      <c r="G181" s="4">
        <v>4.2677824267782397E-2</v>
      </c>
      <c r="H181" s="6">
        <f>H182+Table1[[#This Row],[PnL ($)]]</f>
        <v>16692.999999999967</v>
      </c>
      <c r="I181" s="2">
        <v>71.7</v>
      </c>
      <c r="J181" s="2">
        <v>74.760000000000005</v>
      </c>
      <c r="K181" s="5">
        <v>7</v>
      </c>
      <c r="L181">
        <v>13</v>
      </c>
    </row>
    <row r="182" spans="1:12" x14ac:dyDescent="0.4">
      <c r="A182" t="s">
        <v>168</v>
      </c>
      <c r="B182" s="1">
        <v>45356</v>
      </c>
      <c r="C182" s="1">
        <v>45357</v>
      </c>
      <c r="D182" t="s">
        <v>17</v>
      </c>
      <c r="E182" t="s">
        <v>13</v>
      </c>
      <c r="F182" s="3">
        <v>-700</v>
      </c>
      <c r="G182" s="4">
        <v>-0.84033613445378097</v>
      </c>
      <c r="H182" s="6">
        <f>H183+Table1[[#This Row],[PnL ($)]]</f>
        <v>14550.999999999967</v>
      </c>
      <c r="I182" s="2">
        <v>1.19</v>
      </c>
      <c r="J182" s="2">
        <v>2.19</v>
      </c>
      <c r="K182" s="5">
        <v>7</v>
      </c>
      <c r="L182">
        <v>1</v>
      </c>
    </row>
    <row r="183" spans="1:12" x14ac:dyDescent="0.4">
      <c r="A183" t="s">
        <v>169</v>
      </c>
      <c r="B183" s="1">
        <v>45356</v>
      </c>
      <c r="C183" s="1">
        <v>45356</v>
      </c>
      <c r="D183" t="s">
        <v>15</v>
      </c>
      <c r="E183" t="s">
        <v>13</v>
      </c>
      <c r="F183" s="3">
        <v>412.99999999999898</v>
      </c>
      <c r="G183" s="4">
        <v>0.25877192982456099</v>
      </c>
      <c r="H183" s="6">
        <f>H184+Table1[[#This Row],[PnL ($)]]</f>
        <v>15250.999999999967</v>
      </c>
      <c r="I183" s="2">
        <v>2.2799999999999998</v>
      </c>
      <c r="J183" s="2">
        <v>1.69</v>
      </c>
      <c r="K183" s="5">
        <v>7</v>
      </c>
      <c r="L183">
        <v>0</v>
      </c>
    </row>
    <row r="184" spans="1:12" x14ac:dyDescent="0.4">
      <c r="A184" t="s">
        <v>170</v>
      </c>
      <c r="B184" s="1">
        <v>45355</v>
      </c>
      <c r="C184" s="1">
        <v>45356</v>
      </c>
      <c r="D184" t="s">
        <v>15</v>
      </c>
      <c r="E184" t="s">
        <v>13</v>
      </c>
      <c r="F184" s="3">
        <v>833</v>
      </c>
      <c r="G184" s="4">
        <v>0.65745856353591103</v>
      </c>
      <c r="H184" s="6">
        <f>H185+Table1[[#This Row],[PnL ($)]]</f>
        <v>14837.999999999969</v>
      </c>
      <c r="I184" s="2">
        <v>1.81</v>
      </c>
      <c r="J184" s="2">
        <v>0.62</v>
      </c>
      <c r="K184" s="5">
        <v>7</v>
      </c>
      <c r="L184">
        <v>1</v>
      </c>
    </row>
    <row r="185" spans="1:12" x14ac:dyDescent="0.4">
      <c r="A185" t="s">
        <v>171</v>
      </c>
      <c r="B185" s="1">
        <v>45352</v>
      </c>
      <c r="C185" s="1">
        <v>45355</v>
      </c>
      <c r="D185" t="s">
        <v>17</v>
      </c>
      <c r="E185" t="s">
        <v>13</v>
      </c>
      <c r="F185" s="3">
        <v>-132.99999999999901</v>
      </c>
      <c r="G185" s="4">
        <v>-0.11046511627906901</v>
      </c>
      <c r="H185" s="6">
        <f>H186+Table1[[#This Row],[PnL ($)]]</f>
        <v>14004.999999999969</v>
      </c>
      <c r="I185" s="2">
        <v>1.72</v>
      </c>
      <c r="J185" s="2">
        <v>1.91</v>
      </c>
      <c r="K185" s="5">
        <v>7</v>
      </c>
      <c r="L185">
        <v>3</v>
      </c>
    </row>
    <row r="186" spans="1:12" x14ac:dyDescent="0.4">
      <c r="A186" t="s">
        <v>172</v>
      </c>
      <c r="B186" s="1">
        <v>45351</v>
      </c>
      <c r="C186" s="1">
        <v>45352</v>
      </c>
      <c r="D186" t="s">
        <v>17</v>
      </c>
      <c r="E186" t="s">
        <v>13</v>
      </c>
      <c r="F186" s="3">
        <v>-1190</v>
      </c>
      <c r="G186" s="4">
        <v>-0.86734693877550995</v>
      </c>
      <c r="H186" s="6">
        <f>H187+Table1[[#This Row],[PnL ($)]]</f>
        <v>14137.999999999967</v>
      </c>
      <c r="I186" s="2">
        <v>1.96</v>
      </c>
      <c r="J186" s="2">
        <v>3.66</v>
      </c>
      <c r="K186" s="5">
        <v>7</v>
      </c>
      <c r="L186">
        <v>1</v>
      </c>
    </row>
    <row r="187" spans="1:12" x14ac:dyDescent="0.4">
      <c r="A187" t="s">
        <v>173</v>
      </c>
      <c r="B187" s="1">
        <v>45349</v>
      </c>
      <c r="C187" s="1">
        <v>45351</v>
      </c>
      <c r="D187" t="s">
        <v>17</v>
      </c>
      <c r="E187" t="s">
        <v>13</v>
      </c>
      <c r="F187" s="3">
        <v>-342.99999999999898</v>
      </c>
      <c r="G187" s="4">
        <v>-0.210300429184549</v>
      </c>
      <c r="H187" s="6">
        <f>H188+Table1[[#This Row],[PnL ($)]]</f>
        <v>15327.999999999967</v>
      </c>
      <c r="I187" s="2">
        <v>2.33</v>
      </c>
      <c r="J187" s="2">
        <v>2.82</v>
      </c>
      <c r="K187" s="5">
        <v>7</v>
      </c>
      <c r="L187">
        <v>2</v>
      </c>
    </row>
    <row r="188" spans="1:12" x14ac:dyDescent="0.4">
      <c r="A188" t="s">
        <v>174</v>
      </c>
      <c r="B188" s="1">
        <v>45345</v>
      </c>
      <c r="C188" s="1">
        <v>45349</v>
      </c>
      <c r="D188" t="s">
        <v>15</v>
      </c>
      <c r="E188" t="s">
        <v>13</v>
      </c>
      <c r="F188" s="3">
        <v>931</v>
      </c>
      <c r="G188" s="4">
        <v>0.76436781609195403</v>
      </c>
      <c r="H188" s="6">
        <f>H189+Table1[[#This Row],[PnL ($)]]</f>
        <v>15670.999999999965</v>
      </c>
      <c r="I188" s="2">
        <v>1.74</v>
      </c>
      <c r="J188" s="2">
        <v>0.41</v>
      </c>
      <c r="K188" s="5">
        <v>7</v>
      </c>
      <c r="L188">
        <v>4</v>
      </c>
    </row>
    <row r="189" spans="1:12" x14ac:dyDescent="0.4">
      <c r="A189" t="s">
        <v>175</v>
      </c>
      <c r="B189" s="1">
        <v>45345</v>
      </c>
      <c r="C189" s="1">
        <v>45345</v>
      </c>
      <c r="D189" t="s">
        <v>15</v>
      </c>
      <c r="E189" t="s">
        <v>13</v>
      </c>
      <c r="F189" s="3">
        <v>370.99999999999898</v>
      </c>
      <c r="G189" s="4">
        <v>0.37062937062937001</v>
      </c>
      <c r="H189" s="6">
        <f>H190+Table1[[#This Row],[PnL ($)]]</f>
        <v>14739.999999999965</v>
      </c>
      <c r="I189" s="2">
        <v>1.43</v>
      </c>
      <c r="J189" s="2">
        <v>0.9</v>
      </c>
      <c r="K189" s="5">
        <v>7</v>
      </c>
      <c r="L189">
        <v>0</v>
      </c>
    </row>
    <row r="190" spans="1:12" x14ac:dyDescent="0.4">
      <c r="A190" t="s">
        <v>176</v>
      </c>
      <c r="B190" s="1">
        <v>45344</v>
      </c>
      <c r="C190" s="1">
        <v>45345</v>
      </c>
      <c r="D190" t="s">
        <v>15</v>
      </c>
      <c r="E190" t="s">
        <v>71</v>
      </c>
      <c r="F190" s="3">
        <v>2786.99999999999</v>
      </c>
      <c r="G190" s="4">
        <v>5.5506871141206802E-2</v>
      </c>
      <c r="H190" s="6">
        <f>H191+Table1[[#This Row],[PnL ($)]]</f>
        <v>14368.999999999967</v>
      </c>
      <c r="I190" s="2">
        <v>71.728571428571399</v>
      </c>
      <c r="J190" s="2">
        <v>75.709999999999994</v>
      </c>
      <c r="K190" s="5">
        <v>7</v>
      </c>
      <c r="L190">
        <v>1</v>
      </c>
    </row>
    <row r="191" spans="1:12" x14ac:dyDescent="0.4">
      <c r="A191" t="s">
        <v>177</v>
      </c>
      <c r="B191" s="1">
        <v>45344</v>
      </c>
      <c r="C191" s="1">
        <v>45345</v>
      </c>
      <c r="D191" t="s">
        <v>17</v>
      </c>
      <c r="E191" t="s">
        <v>13</v>
      </c>
      <c r="F191" s="3">
        <v>-538.99999999999898</v>
      </c>
      <c r="G191" s="4">
        <v>-0.343749999999999</v>
      </c>
      <c r="H191" s="6">
        <f>H192+Table1[[#This Row],[PnL ($)]]</f>
        <v>11581.999999999978</v>
      </c>
      <c r="I191" s="2">
        <v>2.2400000000000002</v>
      </c>
      <c r="J191" s="2">
        <v>3.01</v>
      </c>
      <c r="K191" s="5">
        <v>7</v>
      </c>
      <c r="L191">
        <v>1</v>
      </c>
    </row>
    <row r="192" spans="1:12" x14ac:dyDescent="0.4">
      <c r="A192" t="s">
        <v>178</v>
      </c>
      <c r="B192" s="1">
        <v>45344</v>
      </c>
      <c r="C192" s="1">
        <v>45344</v>
      </c>
      <c r="D192" t="s">
        <v>17</v>
      </c>
      <c r="E192" t="s">
        <v>13</v>
      </c>
      <c r="F192" s="3">
        <v>-662</v>
      </c>
      <c r="G192" s="4">
        <v>-0.436963696369637</v>
      </c>
      <c r="H192" s="6">
        <f>H193+Table1[[#This Row],[PnL ($)]]</f>
        <v>12120.999999999976</v>
      </c>
      <c r="I192" s="2">
        <v>2.1642857142857101</v>
      </c>
      <c r="J192" s="2">
        <v>3.11</v>
      </c>
      <c r="K192" s="5">
        <v>7</v>
      </c>
      <c r="L192">
        <v>0</v>
      </c>
    </row>
    <row r="193" spans="1:12" x14ac:dyDescent="0.4">
      <c r="A193" t="s">
        <v>180</v>
      </c>
      <c r="B193" s="1">
        <v>45343</v>
      </c>
      <c r="C193" s="1">
        <v>45344</v>
      </c>
      <c r="D193" t="s">
        <v>17</v>
      </c>
      <c r="E193" t="s">
        <v>13</v>
      </c>
      <c r="F193" s="3">
        <v>-3160</v>
      </c>
      <c r="G193" s="4">
        <v>-2.62458471760797</v>
      </c>
      <c r="H193" s="6">
        <f>H194+Table1[[#This Row],[PnL ($)]]</f>
        <v>12782.999999999976</v>
      </c>
      <c r="I193" s="2">
        <v>1.72</v>
      </c>
      <c r="J193" s="2">
        <v>6.2342857142857104</v>
      </c>
      <c r="K193" s="5">
        <v>7</v>
      </c>
      <c r="L193">
        <v>1</v>
      </c>
    </row>
    <row r="194" spans="1:12" x14ac:dyDescent="0.4">
      <c r="A194" t="s">
        <v>179</v>
      </c>
      <c r="B194" s="1">
        <v>45329</v>
      </c>
      <c r="C194" s="1">
        <v>45344</v>
      </c>
      <c r="D194" t="s">
        <v>15</v>
      </c>
      <c r="E194" t="s">
        <v>71</v>
      </c>
      <c r="F194" s="3">
        <v>4224</v>
      </c>
      <c r="G194" s="4">
        <v>8.6568020658277595E-2</v>
      </c>
      <c r="H194" s="6">
        <f>H195+Table1[[#This Row],[PnL ($)]]</f>
        <v>15942.999999999976</v>
      </c>
      <c r="I194" s="2">
        <v>69.705714285714194</v>
      </c>
      <c r="J194" s="2">
        <v>75.739999999999995</v>
      </c>
      <c r="K194" s="5">
        <v>7</v>
      </c>
      <c r="L194">
        <v>15</v>
      </c>
    </row>
    <row r="195" spans="1:12" x14ac:dyDescent="0.4">
      <c r="A195" t="s">
        <v>181</v>
      </c>
      <c r="B195" s="1">
        <v>45342</v>
      </c>
      <c r="C195" s="1">
        <v>45343</v>
      </c>
      <c r="D195" t="s">
        <v>15</v>
      </c>
      <c r="E195" t="s">
        <v>13</v>
      </c>
      <c r="F195" s="3">
        <v>35.000000000000099</v>
      </c>
      <c r="G195" s="4">
        <v>2.2935779816513801E-2</v>
      </c>
      <c r="H195" s="6">
        <f>H196+Table1[[#This Row],[PnL ($)]]</f>
        <v>11718.999999999976</v>
      </c>
      <c r="I195" s="2">
        <v>2.1800000000000002</v>
      </c>
      <c r="J195" s="2">
        <v>2.13</v>
      </c>
      <c r="K195" s="5">
        <v>7</v>
      </c>
      <c r="L195">
        <v>1</v>
      </c>
    </row>
    <row r="196" spans="1:12" x14ac:dyDescent="0.4">
      <c r="A196" t="s">
        <v>182</v>
      </c>
      <c r="B196" s="1">
        <v>45338</v>
      </c>
      <c r="C196" s="1">
        <v>45342</v>
      </c>
      <c r="D196" t="s">
        <v>15</v>
      </c>
      <c r="E196" t="s">
        <v>13</v>
      </c>
      <c r="F196" s="3">
        <v>930.99999999999898</v>
      </c>
      <c r="G196" s="4">
        <v>0.52988047808764904</v>
      </c>
      <c r="H196" s="6">
        <f>H197+Table1[[#This Row],[PnL ($)]]</f>
        <v>11683.999999999976</v>
      </c>
      <c r="I196" s="2">
        <v>2.5099999999999998</v>
      </c>
      <c r="J196" s="2">
        <v>1.18</v>
      </c>
      <c r="K196" s="5">
        <v>7</v>
      </c>
      <c r="L196">
        <v>4</v>
      </c>
    </row>
    <row r="197" spans="1:12" x14ac:dyDescent="0.4">
      <c r="A197" t="s">
        <v>183</v>
      </c>
      <c r="B197" s="1">
        <v>45338</v>
      </c>
      <c r="C197" s="1">
        <v>45338</v>
      </c>
      <c r="D197" t="s">
        <v>15</v>
      </c>
      <c r="E197" t="s">
        <v>13</v>
      </c>
      <c r="F197" s="3">
        <v>595</v>
      </c>
      <c r="G197" s="4">
        <v>0.33730158730158699</v>
      </c>
      <c r="H197" s="6">
        <f>H198+Table1[[#This Row],[PnL ($)]]</f>
        <v>10752.999999999978</v>
      </c>
      <c r="I197" s="2">
        <v>2.52</v>
      </c>
      <c r="J197" s="2">
        <v>1.67</v>
      </c>
      <c r="K197" s="5">
        <v>7</v>
      </c>
      <c r="L197">
        <v>0</v>
      </c>
    </row>
    <row r="198" spans="1:12" x14ac:dyDescent="0.4">
      <c r="A198" t="s">
        <v>184</v>
      </c>
      <c r="B198" s="1">
        <v>45337</v>
      </c>
      <c r="C198" s="1">
        <v>45338</v>
      </c>
      <c r="D198" t="s">
        <v>15</v>
      </c>
      <c r="E198" t="s">
        <v>13</v>
      </c>
      <c r="F198" s="3">
        <v>245</v>
      </c>
      <c r="G198" s="4">
        <v>0.173267326732673</v>
      </c>
      <c r="H198" s="6">
        <f>H199+Table1[[#This Row],[PnL ($)]]</f>
        <v>10157.999999999978</v>
      </c>
      <c r="I198" s="2">
        <v>2.02</v>
      </c>
      <c r="J198" s="2">
        <v>1.67</v>
      </c>
      <c r="K198" s="5">
        <v>7</v>
      </c>
      <c r="L198">
        <v>1</v>
      </c>
    </row>
    <row r="199" spans="1:12" x14ac:dyDescent="0.4">
      <c r="A199" t="s">
        <v>183</v>
      </c>
      <c r="B199" s="1">
        <v>45337</v>
      </c>
      <c r="C199" s="1">
        <v>45337</v>
      </c>
      <c r="D199" t="s">
        <v>17</v>
      </c>
      <c r="E199" t="s">
        <v>13</v>
      </c>
      <c r="F199" s="3">
        <v>-595</v>
      </c>
      <c r="G199" s="4">
        <v>-0.41463414634146301</v>
      </c>
      <c r="H199" s="6">
        <f>H200+Table1[[#This Row],[PnL ($)]]</f>
        <v>9912.9999999999782</v>
      </c>
      <c r="I199" s="2">
        <v>2.0499999999999998</v>
      </c>
      <c r="J199" s="2">
        <v>2.9</v>
      </c>
      <c r="K199" s="5">
        <v>7</v>
      </c>
      <c r="L199">
        <v>0</v>
      </c>
    </row>
    <row r="200" spans="1:12" x14ac:dyDescent="0.4">
      <c r="A200" t="s">
        <v>185</v>
      </c>
      <c r="B200" s="1">
        <v>45336</v>
      </c>
      <c r="C200" s="1">
        <v>45337</v>
      </c>
      <c r="D200" t="s">
        <v>17</v>
      </c>
      <c r="E200" t="s">
        <v>13</v>
      </c>
      <c r="F200" s="3">
        <v>-105</v>
      </c>
      <c r="G200" s="4">
        <v>-7.5376884422110602E-2</v>
      </c>
      <c r="H200" s="6">
        <f>H201+Table1[[#This Row],[PnL ($)]]</f>
        <v>10507.999999999978</v>
      </c>
      <c r="I200" s="2">
        <v>1.99</v>
      </c>
      <c r="J200" s="2">
        <v>2.14</v>
      </c>
      <c r="K200" s="5">
        <v>7</v>
      </c>
      <c r="L200">
        <v>1</v>
      </c>
    </row>
    <row r="201" spans="1:12" x14ac:dyDescent="0.4">
      <c r="A201" t="s">
        <v>186</v>
      </c>
      <c r="B201" s="1">
        <v>45335</v>
      </c>
      <c r="C201" s="1">
        <v>45336</v>
      </c>
      <c r="D201" t="s">
        <v>17</v>
      </c>
      <c r="E201" t="s">
        <v>13</v>
      </c>
      <c r="F201" s="3">
        <v>-1589</v>
      </c>
      <c r="G201" s="4">
        <v>-2.31632653061224</v>
      </c>
      <c r="H201" s="6">
        <f>H202+Table1[[#This Row],[PnL ($)]]</f>
        <v>10612.999999999978</v>
      </c>
      <c r="I201" s="2">
        <v>0.98</v>
      </c>
      <c r="J201" s="2">
        <v>3.25</v>
      </c>
      <c r="K201" s="5">
        <v>7</v>
      </c>
      <c r="L201">
        <v>1</v>
      </c>
    </row>
    <row r="202" spans="1:12" x14ac:dyDescent="0.4">
      <c r="A202" t="s">
        <v>187</v>
      </c>
      <c r="B202" s="1">
        <v>45331</v>
      </c>
      <c r="C202" s="1">
        <v>45331</v>
      </c>
      <c r="D202" t="s">
        <v>17</v>
      </c>
      <c r="E202" t="s">
        <v>13</v>
      </c>
      <c r="F202" s="3">
        <v>-231</v>
      </c>
      <c r="G202" s="4">
        <v>-0.48529411764705799</v>
      </c>
      <c r="H202" s="6">
        <f>H203+Table1[[#This Row],[PnL ($)]]</f>
        <v>12201.999999999978</v>
      </c>
      <c r="I202" s="2">
        <v>0.67999999999999905</v>
      </c>
      <c r="J202" s="2">
        <v>1.01</v>
      </c>
      <c r="K202" s="5">
        <v>7</v>
      </c>
      <c r="L202">
        <v>0</v>
      </c>
    </row>
    <row r="203" spans="1:12" x14ac:dyDescent="0.4">
      <c r="A203" t="s">
        <v>188</v>
      </c>
      <c r="B203" s="1">
        <v>45329</v>
      </c>
      <c r="C203" s="1">
        <v>45331</v>
      </c>
      <c r="D203" t="s">
        <v>15</v>
      </c>
      <c r="E203" t="s">
        <v>13</v>
      </c>
      <c r="F203" s="3">
        <v>228</v>
      </c>
      <c r="G203" s="4">
        <v>0.71698113207547098</v>
      </c>
      <c r="H203" s="6">
        <f>H204+Table1[[#This Row],[PnL ($)]]</f>
        <v>12432.999999999978</v>
      </c>
      <c r="I203" s="2">
        <v>0.53</v>
      </c>
      <c r="J203" s="2">
        <v>0.15</v>
      </c>
      <c r="K203" s="5">
        <v>6</v>
      </c>
      <c r="L203">
        <v>2</v>
      </c>
    </row>
    <row r="204" spans="1:12" x14ac:dyDescent="0.4">
      <c r="A204" t="s">
        <v>189</v>
      </c>
      <c r="B204" s="1">
        <v>45328</v>
      </c>
      <c r="C204" s="1">
        <v>45329</v>
      </c>
      <c r="D204" t="s">
        <v>15</v>
      </c>
      <c r="E204" t="s">
        <v>71</v>
      </c>
      <c r="F204" s="3">
        <v>2052</v>
      </c>
      <c r="G204" s="4">
        <v>4.90533562822719E-2</v>
      </c>
      <c r="H204" s="6">
        <f>H205+Table1[[#This Row],[PnL ($)]]</f>
        <v>12204.999999999978</v>
      </c>
      <c r="I204" s="2">
        <v>69.72</v>
      </c>
      <c r="J204" s="2">
        <v>73.14</v>
      </c>
      <c r="K204" s="5">
        <v>6</v>
      </c>
      <c r="L204">
        <v>1</v>
      </c>
    </row>
    <row r="205" spans="1:12" x14ac:dyDescent="0.4">
      <c r="A205" t="s">
        <v>190</v>
      </c>
      <c r="B205" s="1">
        <v>45328</v>
      </c>
      <c r="C205" s="1">
        <v>45329</v>
      </c>
      <c r="D205" t="s">
        <v>17</v>
      </c>
      <c r="E205" t="s">
        <v>13</v>
      </c>
      <c r="F205" s="3">
        <v>-1056</v>
      </c>
      <c r="G205" s="4">
        <v>-2.4444444444444402</v>
      </c>
      <c r="H205" s="6">
        <f>H206+Table1[[#This Row],[PnL ($)]]</f>
        <v>10152.999999999978</v>
      </c>
      <c r="I205" s="2">
        <v>0.72</v>
      </c>
      <c r="J205" s="2">
        <v>2.48</v>
      </c>
      <c r="K205" s="5">
        <v>6</v>
      </c>
      <c r="L205">
        <v>1</v>
      </c>
    </row>
    <row r="206" spans="1:12" x14ac:dyDescent="0.4">
      <c r="A206" t="s">
        <v>191</v>
      </c>
      <c r="B206" s="1">
        <v>45313</v>
      </c>
      <c r="C206" s="1">
        <v>45328</v>
      </c>
      <c r="D206" t="s">
        <v>15</v>
      </c>
      <c r="E206" t="s">
        <v>71</v>
      </c>
      <c r="F206" s="3">
        <v>2022</v>
      </c>
      <c r="G206" s="4">
        <v>4.2935405784176303E-2</v>
      </c>
      <c r="H206" s="6">
        <f>H207+Table1[[#This Row],[PnL ($)]]</f>
        <v>11208.999999999978</v>
      </c>
      <c r="I206" s="2">
        <v>78.489999999999995</v>
      </c>
      <c r="J206" s="2">
        <v>81.86</v>
      </c>
      <c r="K206" s="5">
        <v>6</v>
      </c>
      <c r="L206">
        <v>15</v>
      </c>
    </row>
    <row r="207" spans="1:12" x14ac:dyDescent="0.4">
      <c r="A207" t="s">
        <v>192</v>
      </c>
      <c r="B207" s="1">
        <v>45322</v>
      </c>
      <c r="C207" s="1">
        <v>45323</v>
      </c>
      <c r="D207" t="s">
        <v>17</v>
      </c>
      <c r="E207" t="s">
        <v>13</v>
      </c>
      <c r="F207" s="3">
        <v>-504</v>
      </c>
      <c r="G207" s="4">
        <v>-0.93333333333333302</v>
      </c>
      <c r="H207" s="6">
        <f>H208+Table1[[#This Row],[PnL ($)]]</f>
        <v>9186.9999999999782</v>
      </c>
      <c r="I207" s="2">
        <v>1.8</v>
      </c>
      <c r="J207" s="2">
        <v>3.48</v>
      </c>
      <c r="K207" s="5">
        <v>3</v>
      </c>
      <c r="L207">
        <v>1</v>
      </c>
    </row>
    <row r="208" spans="1:12" x14ac:dyDescent="0.4">
      <c r="A208" t="s">
        <v>193</v>
      </c>
      <c r="B208" s="1">
        <v>45322</v>
      </c>
      <c r="C208" s="1">
        <v>45322</v>
      </c>
      <c r="D208" t="s">
        <v>15</v>
      </c>
      <c r="E208" t="s">
        <v>13</v>
      </c>
      <c r="F208" s="3">
        <v>114</v>
      </c>
      <c r="G208" s="4">
        <v>0.36538461538461497</v>
      </c>
      <c r="H208" s="6">
        <f>H209+Table1[[#This Row],[PnL ($)]]</f>
        <v>9690.9999999999782</v>
      </c>
      <c r="I208" s="2">
        <v>1.04</v>
      </c>
      <c r="J208" s="2">
        <v>0.66</v>
      </c>
      <c r="K208" s="5">
        <v>3</v>
      </c>
      <c r="L208">
        <v>0</v>
      </c>
    </row>
    <row r="209" spans="1:12" x14ac:dyDescent="0.4">
      <c r="A209" t="s">
        <v>194</v>
      </c>
      <c r="B209" s="1">
        <v>45310</v>
      </c>
      <c r="C209" s="1">
        <v>45315</v>
      </c>
      <c r="D209" t="s">
        <v>17</v>
      </c>
      <c r="E209" t="s">
        <v>13</v>
      </c>
      <c r="F209" s="3">
        <v>-870</v>
      </c>
      <c r="G209" s="4">
        <v>-2.3015873015873001</v>
      </c>
      <c r="H209" s="6">
        <f>H210+Table1[[#This Row],[PnL ($)]]</f>
        <v>9576.9999999999782</v>
      </c>
      <c r="I209" s="2">
        <v>1.26</v>
      </c>
      <c r="J209" s="2">
        <v>4.16</v>
      </c>
      <c r="K209" s="5">
        <v>3</v>
      </c>
      <c r="L209">
        <v>5</v>
      </c>
    </row>
    <row r="210" spans="1:12" x14ac:dyDescent="0.4">
      <c r="A210" t="s">
        <v>195</v>
      </c>
      <c r="B210" s="1">
        <v>45278</v>
      </c>
      <c r="C210" s="1">
        <v>45313</v>
      </c>
      <c r="D210" t="s">
        <v>15</v>
      </c>
      <c r="E210" t="s">
        <v>71</v>
      </c>
      <c r="F210" s="3">
        <v>2372.99999999999</v>
      </c>
      <c r="G210" s="4">
        <v>0.106920789402541</v>
      </c>
      <c r="H210" s="6">
        <f>H211+Table1[[#This Row],[PnL ($)]]</f>
        <v>10446.999999999978</v>
      </c>
      <c r="I210" s="2">
        <v>73.98</v>
      </c>
      <c r="J210" s="2">
        <v>81.89</v>
      </c>
      <c r="K210" s="5">
        <v>3</v>
      </c>
      <c r="L210">
        <v>35</v>
      </c>
    </row>
    <row r="211" spans="1:12" x14ac:dyDescent="0.4">
      <c r="A211" t="s">
        <v>196</v>
      </c>
      <c r="B211" s="1">
        <v>45309</v>
      </c>
      <c r="C211" s="1">
        <v>45310</v>
      </c>
      <c r="D211" t="s">
        <v>17</v>
      </c>
      <c r="E211" t="s">
        <v>13</v>
      </c>
      <c r="F211" s="3">
        <v>-1041</v>
      </c>
      <c r="G211" s="4">
        <v>-1.7794871794871701</v>
      </c>
      <c r="H211" s="6">
        <f>H212+Table1[[#This Row],[PnL ($)]]</f>
        <v>8073.9999999999891</v>
      </c>
      <c r="I211" s="2">
        <v>1.95</v>
      </c>
      <c r="J211" s="2">
        <v>5.42</v>
      </c>
      <c r="K211" s="5">
        <v>3</v>
      </c>
      <c r="L211">
        <v>1</v>
      </c>
    </row>
    <row r="212" spans="1:12" x14ac:dyDescent="0.4">
      <c r="A212" t="s">
        <v>197</v>
      </c>
      <c r="B212" s="1">
        <v>45308</v>
      </c>
      <c r="C212" s="1">
        <v>45309</v>
      </c>
      <c r="D212" t="s">
        <v>17</v>
      </c>
      <c r="E212" t="s">
        <v>13</v>
      </c>
      <c r="F212" s="3">
        <v>-395.99999999999898</v>
      </c>
      <c r="G212" s="4">
        <v>-0.73743016759776503</v>
      </c>
      <c r="H212" s="6">
        <f>H213+Table1[[#This Row],[PnL ($)]]</f>
        <v>9114.9999999999891</v>
      </c>
      <c r="I212" s="2">
        <v>1.79</v>
      </c>
      <c r="J212" s="2">
        <v>3.11</v>
      </c>
      <c r="K212" s="5">
        <v>3</v>
      </c>
      <c r="L212">
        <v>1</v>
      </c>
    </row>
    <row r="213" spans="1:12" x14ac:dyDescent="0.4">
      <c r="A213" t="s">
        <v>198</v>
      </c>
      <c r="B213" s="1">
        <v>45307</v>
      </c>
      <c r="C213" s="1">
        <v>45308</v>
      </c>
      <c r="D213" t="s">
        <v>15</v>
      </c>
      <c r="E213" t="s">
        <v>13</v>
      </c>
      <c r="F213" s="3">
        <v>254.99999999999901</v>
      </c>
      <c r="G213" s="4">
        <v>0.74561403508771895</v>
      </c>
      <c r="H213" s="6">
        <f>H214+Table1[[#This Row],[PnL ($)]]</f>
        <v>9510.9999999999873</v>
      </c>
      <c r="I213" s="2">
        <v>1.1399999999999999</v>
      </c>
      <c r="J213" s="2">
        <v>0.28999999999999998</v>
      </c>
      <c r="K213" s="5">
        <v>3</v>
      </c>
      <c r="L213">
        <v>1</v>
      </c>
    </row>
    <row r="214" spans="1:12" x14ac:dyDescent="0.4">
      <c r="A214" t="s">
        <v>199</v>
      </c>
      <c r="B214" s="1">
        <v>45299</v>
      </c>
      <c r="C214" s="1">
        <v>45302</v>
      </c>
      <c r="D214" t="s">
        <v>17</v>
      </c>
      <c r="E214" t="s">
        <v>13</v>
      </c>
      <c r="F214" s="3">
        <v>-125.99999999999901</v>
      </c>
      <c r="G214" s="4">
        <v>-0.14334470989761</v>
      </c>
      <c r="H214" s="6">
        <f>H215+Table1[[#This Row],[PnL ($)]]</f>
        <v>9255.9999999999891</v>
      </c>
      <c r="I214" s="2">
        <v>2.93</v>
      </c>
      <c r="J214" s="2">
        <v>3.35</v>
      </c>
      <c r="K214" s="5">
        <v>3</v>
      </c>
      <c r="L214">
        <v>3</v>
      </c>
    </row>
    <row r="215" spans="1:12" x14ac:dyDescent="0.4">
      <c r="A215" t="s">
        <v>200</v>
      </c>
      <c r="B215" s="1">
        <v>45296</v>
      </c>
      <c r="C215" s="1">
        <v>45299</v>
      </c>
      <c r="D215" t="s">
        <v>17</v>
      </c>
      <c r="E215" t="s">
        <v>13</v>
      </c>
      <c r="F215" s="3">
        <v>-797.99999999999898</v>
      </c>
      <c r="G215" s="4">
        <v>-1.29126213592233</v>
      </c>
      <c r="H215" s="6">
        <f>H216+Table1[[#This Row],[PnL ($)]]</f>
        <v>9381.9999999999873</v>
      </c>
      <c r="I215" s="2">
        <v>2.06</v>
      </c>
      <c r="J215" s="2">
        <v>4.72</v>
      </c>
      <c r="K215" s="5">
        <v>3</v>
      </c>
      <c r="L215">
        <v>3</v>
      </c>
    </row>
    <row r="216" spans="1:12" x14ac:dyDescent="0.4">
      <c r="A216" t="s">
        <v>201</v>
      </c>
      <c r="B216" s="1">
        <v>45294</v>
      </c>
      <c r="C216" s="1">
        <v>45296</v>
      </c>
      <c r="D216" t="s">
        <v>15</v>
      </c>
      <c r="E216" t="s">
        <v>13</v>
      </c>
      <c r="F216" s="3">
        <v>294</v>
      </c>
      <c r="G216" s="4">
        <v>0.74242424242424199</v>
      </c>
      <c r="H216" s="6">
        <f>H217+Table1[[#This Row],[PnL ($)]]</f>
        <v>10179.999999999985</v>
      </c>
      <c r="I216" s="2">
        <v>1.32</v>
      </c>
      <c r="J216" s="2">
        <v>0.34</v>
      </c>
      <c r="K216" s="5">
        <v>3</v>
      </c>
      <c r="L216">
        <v>2</v>
      </c>
    </row>
    <row r="217" spans="1:12" x14ac:dyDescent="0.4">
      <c r="A217" t="s">
        <v>202</v>
      </c>
      <c r="B217" s="1">
        <v>45293</v>
      </c>
      <c r="C217" s="1">
        <v>45294</v>
      </c>
      <c r="D217" t="s">
        <v>15</v>
      </c>
      <c r="E217" t="s">
        <v>13</v>
      </c>
      <c r="F217" s="3">
        <v>276</v>
      </c>
      <c r="G217" s="4">
        <v>0.69696969696969702</v>
      </c>
      <c r="H217" s="6">
        <f>H218+Table1[[#This Row],[PnL ($)]]</f>
        <v>9885.9999999999854</v>
      </c>
      <c r="I217" s="2">
        <v>1.32</v>
      </c>
      <c r="J217" s="2">
        <v>0.4</v>
      </c>
      <c r="K217" s="5">
        <v>3</v>
      </c>
      <c r="L217">
        <v>1</v>
      </c>
    </row>
    <row r="218" spans="1:12" x14ac:dyDescent="0.4">
      <c r="A218" t="s">
        <v>203</v>
      </c>
      <c r="B218" s="1">
        <v>45286</v>
      </c>
      <c r="C218" s="1">
        <v>45293</v>
      </c>
      <c r="D218" t="s">
        <v>15</v>
      </c>
      <c r="E218" t="s">
        <v>13</v>
      </c>
      <c r="F218" s="3">
        <v>270</v>
      </c>
      <c r="G218" s="4">
        <v>1</v>
      </c>
      <c r="H218" s="6">
        <f>H219+Table1[[#This Row],[PnL ($)]]</f>
        <v>9609.9999999999854</v>
      </c>
      <c r="I218" s="2">
        <v>0.9</v>
      </c>
      <c r="J218" s="2">
        <v>0</v>
      </c>
      <c r="K218" s="5">
        <v>3</v>
      </c>
      <c r="L218">
        <v>7</v>
      </c>
    </row>
    <row r="219" spans="1:12" x14ac:dyDescent="0.4">
      <c r="A219" t="s">
        <v>204</v>
      </c>
      <c r="B219" s="1">
        <v>45281</v>
      </c>
      <c r="C219" s="1">
        <v>45286</v>
      </c>
      <c r="D219" t="s">
        <v>17</v>
      </c>
      <c r="E219" t="s">
        <v>13</v>
      </c>
      <c r="F219" s="3">
        <v>-270</v>
      </c>
      <c r="G219" s="4">
        <v>-0.54545454545454497</v>
      </c>
      <c r="H219" s="6">
        <f>H220+Table1[[#This Row],[PnL ($)]]</f>
        <v>9339.9999999999854</v>
      </c>
      <c r="I219" s="2">
        <v>1.65</v>
      </c>
      <c r="J219" s="2">
        <v>2.5499999999999998</v>
      </c>
      <c r="K219" s="5">
        <v>3</v>
      </c>
      <c r="L219">
        <v>5</v>
      </c>
    </row>
    <row r="220" spans="1:12" x14ac:dyDescent="0.4">
      <c r="A220" t="s">
        <v>205</v>
      </c>
      <c r="B220" s="1">
        <v>45259</v>
      </c>
      <c r="C220" s="1">
        <v>45278</v>
      </c>
      <c r="D220" t="s">
        <v>15</v>
      </c>
      <c r="E220" t="s">
        <v>71</v>
      </c>
      <c r="F220" s="3">
        <v>3990</v>
      </c>
      <c r="G220" s="4">
        <v>0.19348268839103799</v>
      </c>
      <c r="H220" s="6">
        <f>H221+Table1[[#This Row],[PnL ($)]]</f>
        <v>9609.9999999999854</v>
      </c>
      <c r="I220" s="2">
        <v>68.739999999999995</v>
      </c>
      <c r="J220" s="2">
        <v>82.04</v>
      </c>
      <c r="K220" s="5">
        <v>3</v>
      </c>
      <c r="L220">
        <v>19</v>
      </c>
    </row>
    <row r="221" spans="1:12" x14ac:dyDescent="0.4">
      <c r="A221" t="s">
        <v>206</v>
      </c>
      <c r="B221" s="1">
        <v>45260</v>
      </c>
      <c r="C221" s="1">
        <v>45261</v>
      </c>
      <c r="D221" t="s">
        <v>17</v>
      </c>
      <c r="E221" t="s">
        <v>13</v>
      </c>
      <c r="F221" s="3">
        <v>-642</v>
      </c>
      <c r="G221" s="4">
        <v>-1.1955307262569801</v>
      </c>
      <c r="H221" s="6">
        <f>H222+Table1[[#This Row],[PnL ($)]]</f>
        <v>5619.9999999999845</v>
      </c>
      <c r="I221" s="2">
        <v>1.79</v>
      </c>
      <c r="J221" s="2">
        <v>3.93</v>
      </c>
      <c r="K221" s="5">
        <v>3</v>
      </c>
      <c r="L221">
        <v>1</v>
      </c>
    </row>
    <row r="222" spans="1:12" x14ac:dyDescent="0.4">
      <c r="A222" t="s">
        <v>207</v>
      </c>
      <c r="B222" s="1">
        <v>45259</v>
      </c>
      <c r="C222" s="1">
        <v>45260</v>
      </c>
      <c r="D222" t="s">
        <v>15</v>
      </c>
      <c r="E222" t="s">
        <v>13</v>
      </c>
      <c r="F222" s="3">
        <v>248.99999999999901</v>
      </c>
      <c r="G222" s="4">
        <v>0.48255813953488302</v>
      </c>
      <c r="H222" s="6">
        <f>H223+Table1[[#This Row],[PnL ($)]]</f>
        <v>6261.9999999999845</v>
      </c>
      <c r="I222" s="2">
        <v>1.72</v>
      </c>
      <c r="J222" s="2">
        <v>0.89</v>
      </c>
      <c r="K222" s="5">
        <v>3</v>
      </c>
      <c r="L222">
        <v>1</v>
      </c>
    </row>
    <row r="223" spans="1:12" x14ac:dyDescent="0.4">
      <c r="A223" t="s">
        <v>209</v>
      </c>
      <c r="B223" s="1">
        <v>45252</v>
      </c>
      <c r="C223" s="1">
        <v>45259</v>
      </c>
      <c r="D223" t="s">
        <v>15</v>
      </c>
      <c r="E223" t="s">
        <v>13</v>
      </c>
      <c r="F223" s="3">
        <v>228</v>
      </c>
      <c r="G223" s="4">
        <v>0.55474452554744502</v>
      </c>
      <c r="H223" s="6">
        <f>H224+Table1[[#This Row],[PnL ($)]]</f>
        <v>6012.9999999999854</v>
      </c>
      <c r="I223" s="2">
        <v>1.37</v>
      </c>
      <c r="J223" s="2">
        <v>0.61</v>
      </c>
      <c r="K223" s="5">
        <v>3</v>
      </c>
      <c r="L223">
        <v>7</v>
      </c>
    </row>
    <row r="224" spans="1:12" x14ac:dyDescent="0.4">
      <c r="A224" t="s">
        <v>208</v>
      </c>
      <c r="B224" s="1">
        <v>45090</v>
      </c>
      <c r="C224" s="1">
        <v>45259</v>
      </c>
      <c r="D224" t="s">
        <v>15</v>
      </c>
      <c r="E224" t="s">
        <v>71</v>
      </c>
      <c r="F224" s="3">
        <v>1293</v>
      </c>
      <c r="G224" s="4">
        <v>6.0944570135746598E-2</v>
      </c>
      <c r="H224" s="6">
        <f>H225+Table1[[#This Row],[PnL ($)]]</f>
        <v>5784.9999999999854</v>
      </c>
      <c r="I224" s="2">
        <v>70.72</v>
      </c>
      <c r="J224" s="2">
        <v>75.03</v>
      </c>
      <c r="K224" s="5">
        <v>3</v>
      </c>
      <c r="L224">
        <v>169</v>
      </c>
    </row>
    <row r="225" spans="1:12" x14ac:dyDescent="0.4">
      <c r="A225" t="s">
        <v>210</v>
      </c>
      <c r="B225" s="1">
        <v>45252</v>
      </c>
      <c r="C225" s="1">
        <v>45252</v>
      </c>
      <c r="D225" t="s">
        <v>17</v>
      </c>
      <c r="E225" t="s">
        <v>13</v>
      </c>
      <c r="F225" s="3">
        <v>-12</v>
      </c>
      <c r="G225" s="4">
        <v>-1.79372197309417E-2</v>
      </c>
      <c r="H225" s="6">
        <f>H226+Table1[[#This Row],[PnL ($)]]</f>
        <v>4491.9999999999854</v>
      </c>
      <c r="I225" s="2">
        <v>2.23</v>
      </c>
      <c r="J225" s="2">
        <v>2.27</v>
      </c>
      <c r="K225" s="5">
        <v>3</v>
      </c>
      <c r="L225">
        <v>0</v>
      </c>
    </row>
    <row r="226" spans="1:12" x14ac:dyDescent="0.4">
      <c r="A226" t="s">
        <v>211</v>
      </c>
      <c r="B226" s="1">
        <v>45245</v>
      </c>
      <c r="C226" s="1">
        <v>45250</v>
      </c>
      <c r="D226" t="s">
        <v>17</v>
      </c>
      <c r="E226" t="s">
        <v>13</v>
      </c>
      <c r="F226" s="3">
        <v>-147</v>
      </c>
      <c r="G226" s="4">
        <v>-0.25388601036269398</v>
      </c>
      <c r="H226" s="6">
        <f>H227+Table1[[#This Row],[PnL ($)]]</f>
        <v>4503.9999999999854</v>
      </c>
      <c r="I226" s="2">
        <v>1.93</v>
      </c>
      <c r="J226" s="2">
        <v>2.42</v>
      </c>
      <c r="K226" s="5">
        <v>3</v>
      </c>
      <c r="L226">
        <v>5</v>
      </c>
    </row>
    <row r="227" spans="1:12" x14ac:dyDescent="0.4">
      <c r="A227" t="s">
        <v>212</v>
      </c>
      <c r="B227" s="1">
        <v>45244</v>
      </c>
      <c r="C227" s="1">
        <v>45245</v>
      </c>
      <c r="D227" t="s">
        <v>352</v>
      </c>
      <c r="E227" t="s">
        <v>13</v>
      </c>
      <c r="F227" s="3">
        <v>0</v>
      </c>
      <c r="G227" s="4">
        <v>0</v>
      </c>
      <c r="H227" s="6">
        <f>H228+Table1[[#This Row],[PnL ($)]]</f>
        <v>4650.9999999999854</v>
      </c>
      <c r="I227" s="2">
        <v>0.04</v>
      </c>
      <c r="J227" s="2">
        <v>0.04</v>
      </c>
      <c r="K227" s="5">
        <v>3</v>
      </c>
      <c r="L227">
        <v>1</v>
      </c>
    </row>
    <row r="228" spans="1:12" x14ac:dyDescent="0.4">
      <c r="A228" t="s">
        <v>213</v>
      </c>
      <c r="B228" s="1">
        <v>45240</v>
      </c>
      <c r="C228" s="1">
        <v>45244</v>
      </c>
      <c r="D228" t="s">
        <v>17</v>
      </c>
      <c r="E228" t="s">
        <v>13</v>
      </c>
      <c r="F228" s="3">
        <v>-1197</v>
      </c>
      <c r="G228" s="4">
        <v>-2.5741935483870901</v>
      </c>
      <c r="H228" s="6">
        <f>H229+Table1[[#This Row],[PnL ($)]]</f>
        <v>4650.9999999999854</v>
      </c>
      <c r="I228" s="2">
        <v>1.55</v>
      </c>
      <c r="J228" s="2">
        <v>5.54</v>
      </c>
      <c r="K228" s="5">
        <v>3</v>
      </c>
      <c r="L228">
        <v>4</v>
      </c>
    </row>
    <row r="229" spans="1:12" x14ac:dyDescent="0.4">
      <c r="A229" t="s">
        <v>214</v>
      </c>
      <c r="B229" s="1">
        <v>45240</v>
      </c>
      <c r="C229" s="1">
        <v>45240</v>
      </c>
      <c r="D229" t="s">
        <v>17</v>
      </c>
      <c r="E229" t="s">
        <v>13</v>
      </c>
      <c r="F229" s="3">
        <v>-486</v>
      </c>
      <c r="G229" s="4">
        <v>-0.86170212765957399</v>
      </c>
      <c r="H229" s="6">
        <f>H230+Table1[[#This Row],[PnL ($)]]</f>
        <v>5847.9999999999854</v>
      </c>
      <c r="I229" s="2">
        <v>1.88</v>
      </c>
      <c r="J229" s="2">
        <v>3.5</v>
      </c>
      <c r="K229" s="5">
        <v>3</v>
      </c>
      <c r="L229">
        <v>0</v>
      </c>
    </row>
    <row r="230" spans="1:12" x14ac:dyDescent="0.4">
      <c r="A230" t="s">
        <v>215</v>
      </c>
      <c r="B230" s="1">
        <v>45236</v>
      </c>
      <c r="C230" s="1">
        <v>45240</v>
      </c>
      <c r="D230" t="s">
        <v>17</v>
      </c>
      <c r="E230" t="s">
        <v>13</v>
      </c>
      <c r="F230" s="3">
        <v>-2.9999999999999298</v>
      </c>
      <c r="G230" s="4">
        <v>-4.3668122270741402E-3</v>
      </c>
      <c r="H230" s="6">
        <f>H231+Table1[[#This Row],[PnL ($)]]</f>
        <v>6333.9999999999854</v>
      </c>
      <c r="I230" s="2">
        <v>2.29</v>
      </c>
      <c r="J230" s="2">
        <v>2.2999999999999998</v>
      </c>
      <c r="K230" s="5">
        <v>3</v>
      </c>
      <c r="L230">
        <v>4</v>
      </c>
    </row>
    <row r="231" spans="1:12" x14ac:dyDescent="0.4">
      <c r="A231" t="s">
        <v>216</v>
      </c>
      <c r="B231" s="1">
        <v>45233</v>
      </c>
      <c r="C231" s="1">
        <v>45236</v>
      </c>
      <c r="D231" t="s">
        <v>15</v>
      </c>
      <c r="E231" t="s">
        <v>13</v>
      </c>
      <c r="F231" s="3">
        <v>132</v>
      </c>
      <c r="G231" s="4">
        <v>0.33333333333333298</v>
      </c>
      <c r="H231" s="6">
        <f>H232+Table1[[#This Row],[PnL ($)]]</f>
        <v>6336.9999999999854</v>
      </c>
      <c r="I231" s="2">
        <v>1.32</v>
      </c>
      <c r="J231" s="2">
        <v>0.88</v>
      </c>
      <c r="K231" s="5">
        <v>3</v>
      </c>
      <c r="L231">
        <v>3</v>
      </c>
    </row>
    <row r="232" spans="1:12" x14ac:dyDescent="0.4">
      <c r="A232" t="s">
        <v>217</v>
      </c>
      <c r="B232" s="1">
        <v>45232</v>
      </c>
      <c r="C232" s="1">
        <v>45233</v>
      </c>
      <c r="D232" t="s">
        <v>17</v>
      </c>
      <c r="E232" t="s">
        <v>13</v>
      </c>
      <c r="F232" s="3">
        <v>-543</v>
      </c>
      <c r="G232" s="4">
        <v>-0.93298969072164895</v>
      </c>
      <c r="H232" s="6">
        <f>H233+Table1[[#This Row],[PnL ($)]]</f>
        <v>6204.9999999999854</v>
      </c>
      <c r="I232" s="2">
        <v>1.94</v>
      </c>
      <c r="J232" s="2">
        <v>3.75</v>
      </c>
      <c r="K232" s="5">
        <v>3</v>
      </c>
      <c r="L232">
        <v>1</v>
      </c>
    </row>
    <row r="233" spans="1:12" x14ac:dyDescent="0.4">
      <c r="A233" t="s">
        <v>218</v>
      </c>
      <c r="B233" s="1">
        <v>45231</v>
      </c>
      <c r="C233" s="1">
        <v>45232</v>
      </c>
      <c r="D233" t="s">
        <v>17</v>
      </c>
      <c r="E233" t="s">
        <v>13</v>
      </c>
      <c r="F233" s="3">
        <v>-1521</v>
      </c>
      <c r="G233" s="4">
        <v>-3.9921259842519601</v>
      </c>
      <c r="H233" s="6">
        <f>H234+Table1[[#This Row],[PnL ($)]]</f>
        <v>6747.9999999999854</v>
      </c>
      <c r="I233" s="2">
        <v>1.27</v>
      </c>
      <c r="J233" s="2">
        <v>6.34</v>
      </c>
      <c r="K233" s="5">
        <v>3</v>
      </c>
      <c r="L233">
        <v>1</v>
      </c>
    </row>
    <row r="234" spans="1:12" x14ac:dyDescent="0.4">
      <c r="A234" t="s">
        <v>219</v>
      </c>
      <c r="B234" s="1">
        <v>45230</v>
      </c>
      <c r="C234" s="1">
        <v>45231</v>
      </c>
      <c r="D234" t="s">
        <v>17</v>
      </c>
      <c r="E234" t="s">
        <v>13</v>
      </c>
      <c r="F234" s="3">
        <v>-131.99999999999901</v>
      </c>
      <c r="G234" s="4">
        <v>-0.27160493827160398</v>
      </c>
      <c r="H234" s="6">
        <f>H235+Table1[[#This Row],[PnL ($)]]</f>
        <v>8268.9999999999854</v>
      </c>
      <c r="I234" s="2">
        <v>1.62</v>
      </c>
      <c r="J234" s="2">
        <v>2.06</v>
      </c>
      <c r="K234" s="5">
        <v>3</v>
      </c>
      <c r="L234">
        <v>1</v>
      </c>
    </row>
    <row r="235" spans="1:12" x14ac:dyDescent="0.4">
      <c r="A235" t="s">
        <v>220</v>
      </c>
      <c r="B235" s="1">
        <v>45229</v>
      </c>
      <c r="C235" s="1">
        <v>45230</v>
      </c>
      <c r="D235" t="s">
        <v>17</v>
      </c>
      <c r="E235" t="s">
        <v>13</v>
      </c>
      <c r="F235" s="3">
        <v>-159</v>
      </c>
      <c r="G235" s="4">
        <v>-0.21721311475409799</v>
      </c>
      <c r="H235" s="6">
        <f>H236+Table1[[#This Row],[PnL ($)]]</f>
        <v>8400.9999999999836</v>
      </c>
      <c r="I235" s="2">
        <v>2.44</v>
      </c>
      <c r="J235" s="2">
        <v>2.97</v>
      </c>
      <c r="K235" s="5">
        <v>3</v>
      </c>
      <c r="L235">
        <v>1</v>
      </c>
    </row>
    <row r="236" spans="1:12" x14ac:dyDescent="0.4">
      <c r="A236" t="s">
        <v>221</v>
      </c>
      <c r="B236" s="1">
        <v>45225</v>
      </c>
      <c r="C236" s="1">
        <v>45229</v>
      </c>
      <c r="D236" t="s">
        <v>15</v>
      </c>
      <c r="E236" t="s">
        <v>13</v>
      </c>
      <c r="F236" s="3">
        <v>33.000000000000099</v>
      </c>
      <c r="G236" s="4">
        <v>4.6025104602510601E-2</v>
      </c>
      <c r="H236" s="6">
        <f>H237+Table1[[#This Row],[PnL ($)]]</f>
        <v>8559.9999999999836</v>
      </c>
      <c r="I236" s="2">
        <v>2.39</v>
      </c>
      <c r="J236" s="2">
        <v>2.2799999999999998</v>
      </c>
      <c r="K236" s="5">
        <v>3</v>
      </c>
      <c r="L236">
        <v>4</v>
      </c>
    </row>
    <row r="237" spans="1:12" x14ac:dyDescent="0.4">
      <c r="A237" t="s">
        <v>222</v>
      </c>
      <c r="B237" s="1">
        <v>45224</v>
      </c>
      <c r="C237" s="1">
        <v>45225</v>
      </c>
      <c r="D237" t="s">
        <v>15</v>
      </c>
      <c r="E237" t="s">
        <v>13</v>
      </c>
      <c r="F237" s="3">
        <v>570</v>
      </c>
      <c r="G237" s="4">
        <v>0.66202090592334495</v>
      </c>
      <c r="H237" s="6">
        <f>H238+Table1[[#This Row],[PnL ($)]]</f>
        <v>8526.9999999999836</v>
      </c>
      <c r="I237" s="2">
        <v>2.87</v>
      </c>
      <c r="J237" s="2">
        <v>0.97</v>
      </c>
      <c r="K237" s="5">
        <v>3</v>
      </c>
      <c r="L237">
        <v>1</v>
      </c>
    </row>
    <row r="238" spans="1:12" x14ac:dyDescent="0.4">
      <c r="A238" t="s">
        <v>223</v>
      </c>
      <c r="B238" s="1">
        <v>45223</v>
      </c>
      <c r="C238" s="1">
        <v>45224</v>
      </c>
      <c r="D238" t="s">
        <v>15</v>
      </c>
      <c r="E238" t="s">
        <v>13</v>
      </c>
      <c r="F238" s="3">
        <v>558</v>
      </c>
      <c r="G238" s="4">
        <v>0.55357142857142805</v>
      </c>
      <c r="H238" s="6">
        <f>H239+Table1[[#This Row],[PnL ($)]]</f>
        <v>7956.9999999999836</v>
      </c>
      <c r="I238" s="2">
        <v>3.36</v>
      </c>
      <c r="J238" s="2">
        <v>1.5</v>
      </c>
      <c r="K238" s="5">
        <v>3</v>
      </c>
      <c r="L238">
        <v>1</v>
      </c>
    </row>
    <row r="239" spans="1:12" x14ac:dyDescent="0.4">
      <c r="A239" t="s">
        <v>224</v>
      </c>
      <c r="B239" s="1">
        <v>45222</v>
      </c>
      <c r="C239" s="1">
        <v>45223</v>
      </c>
      <c r="D239" t="s">
        <v>17</v>
      </c>
      <c r="E239" t="s">
        <v>13</v>
      </c>
      <c r="F239" s="3">
        <v>-261</v>
      </c>
      <c r="G239" s="4">
        <v>-0.28246753246753198</v>
      </c>
      <c r="H239" s="6">
        <f>H240+Table1[[#This Row],[PnL ($)]]</f>
        <v>7398.9999999999836</v>
      </c>
      <c r="I239" s="2">
        <v>3.08</v>
      </c>
      <c r="J239" s="2">
        <v>3.95</v>
      </c>
      <c r="K239" s="5">
        <v>3</v>
      </c>
      <c r="L239">
        <v>1</v>
      </c>
    </row>
    <row r="240" spans="1:12" x14ac:dyDescent="0.4">
      <c r="A240" t="s">
        <v>225</v>
      </c>
      <c r="B240" s="1">
        <v>45222</v>
      </c>
      <c r="C240" s="1">
        <v>45222</v>
      </c>
      <c r="D240" t="s">
        <v>15</v>
      </c>
      <c r="E240" t="s">
        <v>13</v>
      </c>
      <c r="F240" s="3">
        <v>354</v>
      </c>
      <c r="G240" s="4">
        <v>0.33908045977011497</v>
      </c>
      <c r="H240" s="6">
        <f>H241+Table1[[#This Row],[PnL ($)]]</f>
        <v>7659.9999999999836</v>
      </c>
      <c r="I240" s="2">
        <v>3.48</v>
      </c>
      <c r="J240" s="2">
        <v>2.2999999999999998</v>
      </c>
      <c r="K240" s="5">
        <v>3</v>
      </c>
      <c r="L240">
        <v>0</v>
      </c>
    </row>
    <row r="241" spans="1:12" x14ac:dyDescent="0.4">
      <c r="A241" t="s">
        <v>226</v>
      </c>
      <c r="B241" s="1">
        <v>45219</v>
      </c>
      <c r="C241" s="1">
        <v>45222</v>
      </c>
      <c r="D241" t="s">
        <v>15</v>
      </c>
      <c r="E241" t="s">
        <v>13</v>
      </c>
      <c r="F241" s="3">
        <v>161.99999999999901</v>
      </c>
      <c r="G241" s="4">
        <v>0.12918660287081299</v>
      </c>
      <c r="H241" s="6">
        <f>H242+Table1[[#This Row],[PnL ($)]]</f>
        <v>7305.9999999999836</v>
      </c>
      <c r="I241" s="2">
        <v>4.18</v>
      </c>
      <c r="J241" s="2">
        <v>3.64</v>
      </c>
      <c r="K241" s="5">
        <v>3</v>
      </c>
      <c r="L241">
        <v>3</v>
      </c>
    </row>
    <row r="242" spans="1:12" x14ac:dyDescent="0.4">
      <c r="A242" t="s">
        <v>227</v>
      </c>
      <c r="B242" s="1">
        <v>45218</v>
      </c>
      <c r="C242" s="1">
        <v>45219</v>
      </c>
      <c r="D242" t="s">
        <v>15</v>
      </c>
      <c r="E242" t="s">
        <v>13</v>
      </c>
      <c r="F242" s="3">
        <v>378</v>
      </c>
      <c r="G242" s="4">
        <v>0.73255813953488302</v>
      </c>
      <c r="H242" s="6">
        <f>H243+Table1[[#This Row],[PnL ($)]]</f>
        <v>7143.9999999999845</v>
      </c>
      <c r="I242" s="2">
        <v>1.72</v>
      </c>
      <c r="J242" s="2">
        <v>0.46</v>
      </c>
      <c r="K242" s="5">
        <v>3</v>
      </c>
      <c r="L242">
        <v>1</v>
      </c>
    </row>
    <row r="243" spans="1:12" x14ac:dyDescent="0.4">
      <c r="A243" t="s">
        <v>228</v>
      </c>
      <c r="B243" s="1">
        <v>45218</v>
      </c>
      <c r="C243" s="1">
        <v>45218</v>
      </c>
      <c r="D243" t="s">
        <v>15</v>
      </c>
      <c r="E243" t="s">
        <v>13</v>
      </c>
      <c r="F243" s="3">
        <v>323.99999999999898</v>
      </c>
      <c r="G243" s="4">
        <v>0.50704225352112597</v>
      </c>
      <c r="H243" s="6">
        <f>H244+Table1[[#This Row],[PnL ($)]]</f>
        <v>6765.9999999999845</v>
      </c>
      <c r="I243" s="2">
        <v>2.13</v>
      </c>
      <c r="J243" s="2">
        <v>1.05</v>
      </c>
      <c r="K243" s="5">
        <v>3</v>
      </c>
      <c r="L243">
        <v>0</v>
      </c>
    </row>
    <row r="244" spans="1:12" x14ac:dyDescent="0.4">
      <c r="A244" t="s">
        <v>229</v>
      </c>
      <c r="B244" s="1">
        <v>45217</v>
      </c>
      <c r="C244" s="1">
        <v>45218</v>
      </c>
      <c r="D244" t="s">
        <v>15</v>
      </c>
      <c r="E244" t="s">
        <v>13</v>
      </c>
      <c r="F244" s="3">
        <v>230.99999999999901</v>
      </c>
      <c r="G244" s="4">
        <v>0.36492890995260602</v>
      </c>
      <c r="H244" s="6">
        <f>H245+Table1[[#This Row],[PnL ($)]]</f>
        <v>6441.9999999999854</v>
      </c>
      <c r="I244" s="2">
        <v>2.11</v>
      </c>
      <c r="J244" s="2">
        <v>1.34</v>
      </c>
      <c r="K244" s="5">
        <v>3</v>
      </c>
      <c r="L244">
        <v>1</v>
      </c>
    </row>
    <row r="245" spans="1:12" x14ac:dyDescent="0.4">
      <c r="A245" t="s">
        <v>230</v>
      </c>
      <c r="B245" s="1">
        <v>45217</v>
      </c>
      <c r="C245" s="1">
        <v>45217</v>
      </c>
      <c r="D245" t="s">
        <v>15</v>
      </c>
      <c r="E245" t="s">
        <v>13</v>
      </c>
      <c r="F245" s="3">
        <v>338.99999999999898</v>
      </c>
      <c r="G245" s="4">
        <v>0.45199999999999901</v>
      </c>
      <c r="H245" s="6">
        <f>H246+Table1[[#This Row],[PnL ($)]]</f>
        <v>6210.9999999999864</v>
      </c>
      <c r="I245" s="2">
        <v>2.5</v>
      </c>
      <c r="J245" s="2">
        <v>1.37</v>
      </c>
      <c r="K245" s="5">
        <v>3</v>
      </c>
      <c r="L245">
        <v>0</v>
      </c>
    </row>
    <row r="246" spans="1:12" x14ac:dyDescent="0.4">
      <c r="A246" t="s">
        <v>231</v>
      </c>
      <c r="B246" s="1">
        <v>45217</v>
      </c>
      <c r="C246" s="1">
        <v>45217</v>
      </c>
      <c r="D246" t="s">
        <v>17</v>
      </c>
      <c r="E246" t="s">
        <v>13</v>
      </c>
      <c r="F246" s="3">
        <v>-8.9999999999999396</v>
      </c>
      <c r="G246" s="4">
        <v>-1.48514851485147E-2</v>
      </c>
      <c r="H246" s="6">
        <f>H247+Table1[[#This Row],[PnL ($)]]</f>
        <v>5871.9999999999873</v>
      </c>
      <c r="I246" s="2">
        <v>2.02</v>
      </c>
      <c r="J246" s="2">
        <v>2.0499999999999998</v>
      </c>
      <c r="K246" s="5">
        <v>3</v>
      </c>
      <c r="L246">
        <v>0</v>
      </c>
    </row>
    <row r="247" spans="1:12" x14ac:dyDescent="0.4">
      <c r="A247" t="s">
        <v>232</v>
      </c>
      <c r="B247" s="1">
        <v>45215</v>
      </c>
      <c r="C247" s="1">
        <v>45217</v>
      </c>
      <c r="D247" t="s">
        <v>15</v>
      </c>
      <c r="E247" t="s">
        <v>13</v>
      </c>
      <c r="F247" s="3">
        <v>462</v>
      </c>
      <c r="G247" s="4">
        <v>0.54416961130742003</v>
      </c>
      <c r="H247" s="6">
        <f>H248+Table1[[#This Row],[PnL ($)]]</f>
        <v>5880.9999999999873</v>
      </c>
      <c r="I247" s="2">
        <v>2.83</v>
      </c>
      <c r="J247" s="2">
        <v>1.29</v>
      </c>
      <c r="K247" s="5">
        <v>3</v>
      </c>
      <c r="L247">
        <v>2</v>
      </c>
    </row>
    <row r="248" spans="1:12" x14ac:dyDescent="0.4">
      <c r="A248" t="s">
        <v>233</v>
      </c>
      <c r="B248" s="1">
        <v>45211</v>
      </c>
      <c r="C248" s="1">
        <v>45215</v>
      </c>
      <c r="D248" t="s">
        <v>17</v>
      </c>
      <c r="E248" t="s">
        <v>13</v>
      </c>
      <c r="F248" s="3">
        <v>-360</v>
      </c>
      <c r="G248" s="4">
        <v>-0.4</v>
      </c>
      <c r="H248" s="6">
        <f>H249+Table1[[#This Row],[PnL ($)]]</f>
        <v>5418.9999999999873</v>
      </c>
      <c r="I248" s="2">
        <v>3</v>
      </c>
      <c r="J248" s="2">
        <v>4.2</v>
      </c>
      <c r="K248" s="5">
        <v>3</v>
      </c>
      <c r="L248">
        <v>4</v>
      </c>
    </row>
    <row r="249" spans="1:12" x14ac:dyDescent="0.4">
      <c r="A249" t="s">
        <v>234</v>
      </c>
      <c r="B249" s="1">
        <v>45209</v>
      </c>
      <c r="C249" s="1">
        <v>45211</v>
      </c>
      <c r="D249" t="s">
        <v>15</v>
      </c>
      <c r="E249" t="s">
        <v>13</v>
      </c>
      <c r="F249" s="3">
        <v>464.99999999999898</v>
      </c>
      <c r="G249" s="4">
        <v>0.58490566037735803</v>
      </c>
      <c r="H249" s="6">
        <f>H250+Table1[[#This Row],[PnL ($)]]</f>
        <v>5778.9999999999873</v>
      </c>
      <c r="I249" s="2">
        <v>2.65</v>
      </c>
      <c r="J249" s="2">
        <v>1.1000000000000001</v>
      </c>
      <c r="K249" s="5">
        <v>3</v>
      </c>
      <c r="L249">
        <v>2</v>
      </c>
    </row>
    <row r="250" spans="1:12" x14ac:dyDescent="0.4">
      <c r="A250" t="s">
        <v>235</v>
      </c>
      <c r="B250" s="1">
        <v>45208</v>
      </c>
      <c r="C250" s="1">
        <v>45209</v>
      </c>
      <c r="D250" t="s">
        <v>17</v>
      </c>
      <c r="E250" t="s">
        <v>13</v>
      </c>
      <c r="F250" s="3">
        <v>-375</v>
      </c>
      <c r="G250" s="4">
        <v>-0.49800796812748999</v>
      </c>
      <c r="H250" s="6">
        <f>H251+Table1[[#This Row],[PnL ($)]]</f>
        <v>5313.9999999999882</v>
      </c>
      <c r="I250" s="2">
        <v>2.5099999999999998</v>
      </c>
      <c r="J250" s="2">
        <v>3.76</v>
      </c>
      <c r="K250" s="5">
        <v>3</v>
      </c>
      <c r="L250">
        <v>1</v>
      </c>
    </row>
    <row r="251" spans="1:12" x14ac:dyDescent="0.4">
      <c r="A251" t="s">
        <v>236</v>
      </c>
      <c r="B251" s="1">
        <v>45208</v>
      </c>
      <c r="C251" s="1">
        <v>45208</v>
      </c>
      <c r="D251" t="s">
        <v>17</v>
      </c>
      <c r="E251" t="s">
        <v>13</v>
      </c>
      <c r="F251" s="3">
        <v>-768</v>
      </c>
      <c r="G251" s="4">
        <v>-0.88581314878892703</v>
      </c>
      <c r="H251" s="6">
        <f>H252+Table1[[#This Row],[PnL ($)]]</f>
        <v>5688.9999999999882</v>
      </c>
      <c r="I251" s="2">
        <v>2.89</v>
      </c>
      <c r="J251" s="2">
        <v>5.45</v>
      </c>
      <c r="K251" s="5">
        <v>3</v>
      </c>
      <c r="L251">
        <v>0</v>
      </c>
    </row>
    <row r="252" spans="1:12" x14ac:dyDescent="0.4">
      <c r="A252" t="s">
        <v>237</v>
      </c>
      <c r="B252" s="1">
        <v>45205</v>
      </c>
      <c r="C252" s="1">
        <v>45208</v>
      </c>
      <c r="D252" t="s">
        <v>15</v>
      </c>
      <c r="E252" t="s">
        <v>13</v>
      </c>
      <c r="F252" s="3">
        <v>372</v>
      </c>
      <c r="G252" s="4">
        <v>0.75151515151515103</v>
      </c>
      <c r="H252" s="6">
        <f>H253+Table1[[#This Row],[PnL ($)]]</f>
        <v>6456.9999999999882</v>
      </c>
      <c r="I252" s="2">
        <v>1.65</v>
      </c>
      <c r="J252" s="2">
        <v>0.41</v>
      </c>
      <c r="K252" s="5">
        <v>3</v>
      </c>
      <c r="L252">
        <v>3</v>
      </c>
    </row>
    <row r="253" spans="1:12" x14ac:dyDescent="0.4">
      <c r="A253" t="s">
        <v>238</v>
      </c>
      <c r="B253" s="1">
        <v>45203</v>
      </c>
      <c r="C253" s="1">
        <v>45205</v>
      </c>
      <c r="D253" t="s">
        <v>17</v>
      </c>
      <c r="E253" t="s">
        <v>13</v>
      </c>
      <c r="F253" s="3">
        <v>-192</v>
      </c>
      <c r="G253" s="4">
        <v>-0.30046948356807501</v>
      </c>
      <c r="H253" s="6">
        <f>H254+Table1[[#This Row],[PnL ($)]]</f>
        <v>6084.9999999999882</v>
      </c>
      <c r="I253" s="2">
        <v>2.13</v>
      </c>
      <c r="J253" s="2">
        <v>2.77</v>
      </c>
      <c r="K253" s="5">
        <v>3</v>
      </c>
      <c r="L253">
        <v>2</v>
      </c>
    </row>
    <row r="254" spans="1:12" x14ac:dyDescent="0.4">
      <c r="A254" t="s">
        <v>239</v>
      </c>
      <c r="B254" s="1">
        <v>45202</v>
      </c>
      <c r="C254" s="1">
        <v>45203</v>
      </c>
      <c r="D254" t="s">
        <v>17</v>
      </c>
      <c r="E254" t="s">
        <v>13</v>
      </c>
      <c r="F254" s="3">
        <v>-264</v>
      </c>
      <c r="G254" s="4">
        <v>-0.38596491228070101</v>
      </c>
      <c r="H254" s="6">
        <f>H255+Table1[[#This Row],[PnL ($)]]</f>
        <v>6276.9999999999882</v>
      </c>
      <c r="I254" s="2">
        <v>2.2799999999999998</v>
      </c>
      <c r="J254" s="2">
        <v>3.16</v>
      </c>
      <c r="K254" s="5">
        <v>3</v>
      </c>
      <c r="L254">
        <v>1</v>
      </c>
    </row>
    <row r="255" spans="1:12" x14ac:dyDescent="0.4">
      <c r="A255" t="s">
        <v>240</v>
      </c>
      <c r="B255" s="1">
        <v>45198</v>
      </c>
      <c r="C255" s="1">
        <v>45202</v>
      </c>
      <c r="D255" t="s">
        <v>15</v>
      </c>
      <c r="E255" t="s">
        <v>13</v>
      </c>
      <c r="F255" s="3">
        <v>507.99999999999898</v>
      </c>
      <c r="G255" s="4">
        <v>0.88041594454072702</v>
      </c>
      <c r="H255" s="6">
        <f>H256+Table1[[#This Row],[PnL ($)]]</f>
        <v>6540.9999999999882</v>
      </c>
      <c r="I255" s="2">
        <v>1.92333333333333</v>
      </c>
      <c r="J255" s="2">
        <v>0.23</v>
      </c>
      <c r="K255" s="5">
        <v>3</v>
      </c>
      <c r="L255">
        <v>4</v>
      </c>
    </row>
    <row r="256" spans="1:12" x14ac:dyDescent="0.4">
      <c r="A256" t="s">
        <v>241</v>
      </c>
      <c r="B256" s="1">
        <v>45195</v>
      </c>
      <c r="C256" s="1">
        <v>45198</v>
      </c>
      <c r="D256" t="s">
        <v>15</v>
      </c>
      <c r="E256" t="s">
        <v>13</v>
      </c>
      <c r="F256" s="3">
        <v>401</v>
      </c>
      <c r="G256" s="4">
        <v>0.66500829187396304</v>
      </c>
      <c r="H256" s="6">
        <f>H257+Table1[[#This Row],[PnL ($)]]</f>
        <v>6032.9999999999891</v>
      </c>
      <c r="I256" s="2">
        <v>2.0099999999999998</v>
      </c>
      <c r="J256" s="2">
        <v>0.67333333333333301</v>
      </c>
      <c r="K256" s="5">
        <v>3</v>
      </c>
      <c r="L256">
        <v>3</v>
      </c>
    </row>
    <row r="257" spans="1:12" x14ac:dyDescent="0.4">
      <c r="A257" t="s">
        <v>242</v>
      </c>
      <c r="B257" s="1">
        <v>45195</v>
      </c>
      <c r="C257" s="1">
        <v>45195</v>
      </c>
      <c r="D257" t="s">
        <v>15</v>
      </c>
      <c r="E257" t="s">
        <v>13</v>
      </c>
      <c r="F257" s="3">
        <v>245.99999999999901</v>
      </c>
      <c r="G257" s="4">
        <v>0.39613526570048302</v>
      </c>
      <c r="H257" s="6">
        <f>H258+Table1[[#This Row],[PnL ($)]]</f>
        <v>5631.9999999999891</v>
      </c>
      <c r="I257" s="2">
        <v>2.0699999999999998</v>
      </c>
      <c r="J257" s="2">
        <v>1.25</v>
      </c>
      <c r="K257" s="5">
        <v>3</v>
      </c>
      <c r="L257">
        <v>0</v>
      </c>
    </row>
    <row r="258" spans="1:12" x14ac:dyDescent="0.4">
      <c r="A258" t="s">
        <v>243</v>
      </c>
      <c r="B258" s="1">
        <v>45191</v>
      </c>
      <c r="C258" s="1">
        <v>45195</v>
      </c>
      <c r="D258" t="s">
        <v>15</v>
      </c>
      <c r="E258" t="s">
        <v>13</v>
      </c>
      <c r="F258" s="3">
        <v>278</v>
      </c>
      <c r="G258" s="4">
        <v>0.580375782881002</v>
      </c>
      <c r="H258" s="6">
        <f>H259+Table1[[#This Row],[PnL ($)]]</f>
        <v>5385.99999999999</v>
      </c>
      <c r="I258" s="2">
        <v>1.59666666666666</v>
      </c>
      <c r="J258" s="2">
        <v>0.67</v>
      </c>
      <c r="K258" s="5">
        <v>3</v>
      </c>
      <c r="L258">
        <v>4</v>
      </c>
    </row>
    <row r="259" spans="1:12" x14ac:dyDescent="0.4">
      <c r="A259" t="s">
        <v>244</v>
      </c>
      <c r="B259" s="1">
        <v>45190</v>
      </c>
      <c r="C259" s="1">
        <v>45191</v>
      </c>
      <c r="D259" t="s">
        <v>15</v>
      </c>
      <c r="E259" t="s">
        <v>13</v>
      </c>
      <c r="F259" s="3">
        <v>260</v>
      </c>
      <c r="G259" s="4">
        <v>0.75581395348837199</v>
      </c>
      <c r="H259" s="6">
        <f>H260+Table1[[#This Row],[PnL ($)]]</f>
        <v>5107.99999999999</v>
      </c>
      <c r="I259" s="2">
        <v>1.72</v>
      </c>
      <c r="J259" s="2">
        <v>0.42</v>
      </c>
      <c r="K259" s="5">
        <v>2</v>
      </c>
      <c r="L259">
        <v>1</v>
      </c>
    </row>
    <row r="260" spans="1:12" x14ac:dyDescent="0.4">
      <c r="A260" t="s">
        <v>245</v>
      </c>
      <c r="B260" s="1">
        <v>45189</v>
      </c>
      <c r="C260" s="1">
        <v>45190</v>
      </c>
      <c r="D260" t="s">
        <v>15</v>
      </c>
      <c r="E260" t="s">
        <v>13</v>
      </c>
      <c r="F260" s="3">
        <v>274</v>
      </c>
      <c r="G260" s="4">
        <v>0.80116959064327398</v>
      </c>
      <c r="H260" s="6">
        <f>H261+Table1[[#This Row],[PnL ($)]]</f>
        <v>4847.99999999999</v>
      </c>
      <c r="I260" s="2">
        <v>1.71</v>
      </c>
      <c r="J260" s="2">
        <v>0.34</v>
      </c>
      <c r="K260" s="5">
        <v>2</v>
      </c>
      <c r="L260">
        <v>1</v>
      </c>
    </row>
    <row r="261" spans="1:12" x14ac:dyDescent="0.4">
      <c r="A261" t="s">
        <v>246</v>
      </c>
      <c r="B261" s="1">
        <v>45188</v>
      </c>
      <c r="C261" s="1">
        <v>45189</v>
      </c>
      <c r="D261" t="s">
        <v>15</v>
      </c>
      <c r="E261" t="s">
        <v>13</v>
      </c>
      <c r="F261" s="3">
        <v>212</v>
      </c>
      <c r="G261" s="4">
        <v>0.84799999999999998</v>
      </c>
      <c r="H261" s="6">
        <f>H262+Table1[[#This Row],[PnL ($)]]</f>
        <v>4573.99999999999</v>
      </c>
      <c r="I261" s="2">
        <v>1.25</v>
      </c>
      <c r="J261" s="2">
        <v>0.19</v>
      </c>
      <c r="K261" s="5">
        <v>2</v>
      </c>
      <c r="L261">
        <v>1</v>
      </c>
    </row>
    <row r="262" spans="1:12" x14ac:dyDescent="0.4">
      <c r="A262" t="s">
        <v>247</v>
      </c>
      <c r="B262" s="1">
        <v>45184</v>
      </c>
      <c r="C262" s="1">
        <v>45188</v>
      </c>
      <c r="D262" t="s">
        <v>15</v>
      </c>
      <c r="E262" t="s">
        <v>13</v>
      </c>
      <c r="F262" s="3">
        <v>221.99999999999901</v>
      </c>
      <c r="G262" s="4">
        <v>0.67272727272727195</v>
      </c>
      <c r="H262" s="6">
        <f>H263+Table1[[#This Row],[PnL ($)]]</f>
        <v>4361.99999999999</v>
      </c>
      <c r="I262" s="2">
        <v>1.65</v>
      </c>
      <c r="J262" s="2">
        <v>0.54</v>
      </c>
      <c r="K262" s="5">
        <v>2</v>
      </c>
      <c r="L262">
        <v>4</v>
      </c>
    </row>
    <row r="263" spans="1:12" x14ac:dyDescent="0.4">
      <c r="A263" t="s">
        <v>248</v>
      </c>
      <c r="B263" s="1">
        <v>45182</v>
      </c>
      <c r="C263" s="1">
        <v>45184</v>
      </c>
      <c r="D263" t="s">
        <v>15</v>
      </c>
      <c r="E263" t="s">
        <v>13</v>
      </c>
      <c r="F263" s="3">
        <v>146</v>
      </c>
      <c r="G263" s="4">
        <v>0.453416149068323</v>
      </c>
      <c r="H263" s="6">
        <f>H264+Table1[[#This Row],[PnL ($)]]</f>
        <v>4139.9999999999909</v>
      </c>
      <c r="I263" s="2">
        <v>1.61</v>
      </c>
      <c r="J263" s="2">
        <v>0.88</v>
      </c>
      <c r="K263" s="5">
        <v>2</v>
      </c>
      <c r="L263">
        <v>2</v>
      </c>
    </row>
    <row r="264" spans="1:12" x14ac:dyDescent="0.4">
      <c r="A264" t="s">
        <v>249</v>
      </c>
      <c r="B264" s="1">
        <v>45180</v>
      </c>
      <c r="C264" s="1">
        <v>45182</v>
      </c>
      <c r="D264" t="s">
        <v>15</v>
      </c>
      <c r="E264" t="s">
        <v>13</v>
      </c>
      <c r="F264" s="3">
        <v>174</v>
      </c>
      <c r="G264" s="4">
        <v>0.65909090909090895</v>
      </c>
      <c r="H264" s="6">
        <f>H265+Table1[[#This Row],[PnL ($)]]</f>
        <v>3993.9999999999914</v>
      </c>
      <c r="I264" s="2">
        <v>1.32</v>
      </c>
      <c r="J264" s="2">
        <v>0.45</v>
      </c>
      <c r="K264" s="5">
        <v>2</v>
      </c>
      <c r="L264">
        <v>2</v>
      </c>
    </row>
    <row r="265" spans="1:12" x14ac:dyDescent="0.4">
      <c r="A265" t="s">
        <v>250</v>
      </c>
      <c r="B265" s="1">
        <v>45175</v>
      </c>
      <c r="C265" s="1">
        <v>45180</v>
      </c>
      <c r="D265" t="s">
        <v>15</v>
      </c>
      <c r="E265" t="s">
        <v>13</v>
      </c>
      <c r="F265" s="3">
        <v>10</v>
      </c>
      <c r="G265" s="4">
        <v>2.7624309392265199E-2</v>
      </c>
      <c r="H265" s="6">
        <f>H266+Table1[[#This Row],[PnL ($)]]</f>
        <v>3819.9999999999914</v>
      </c>
      <c r="I265" s="2">
        <v>1.81</v>
      </c>
      <c r="J265" s="2">
        <v>1.76</v>
      </c>
      <c r="K265" s="5">
        <v>2</v>
      </c>
      <c r="L265">
        <v>5</v>
      </c>
    </row>
    <row r="266" spans="1:12" x14ac:dyDescent="0.4">
      <c r="A266" t="s">
        <v>251</v>
      </c>
      <c r="B266" s="1">
        <v>45174</v>
      </c>
      <c r="C266" s="1">
        <v>45175</v>
      </c>
      <c r="D266" t="s">
        <v>15</v>
      </c>
      <c r="E266" t="s">
        <v>13</v>
      </c>
      <c r="F266" s="3">
        <v>228</v>
      </c>
      <c r="G266" s="4">
        <v>0.75</v>
      </c>
      <c r="H266" s="6">
        <f>H267+Table1[[#This Row],[PnL ($)]]</f>
        <v>3809.9999999999914</v>
      </c>
      <c r="I266" s="2">
        <v>1.52</v>
      </c>
      <c r="J266" s="2">
        <v>0.38</v>
      </c>
      <c r="K266" s="5">
        <v>2</v>
      </c>
      <c r="L266">
        <v>1</v>
      </c>
    </row>
    <row r="267" spans="1:12" x14ac:dyDescent="0.4">
      <c r="A267" t="s">
        <v>252</v>
      </c>
      <c r="B267" s="1">
        <v>45168</v>
      </c>
      <c r="C267" s="1">
        <v>45174</v>
      </c>
      <c r="D267" t="s">
        <v>15</v>
      </c>
      <c r="E267" t="s">
        <v>13</v>
      </c>
      <c r="F267" s="3">
        <v>401</v>
      </c>
      <c r="G267" s="4">
        <v>0.69497400346620397</v>
      </c>
      <c r="H267" s="6">
        <f>H268+Table1[[#This Row],[PnL ($)]]</f>
        <v>3581.9999999999914</v>
      </c>
      <c r="I267" s="2">
        <v>2.8849999999999998</v>
      </c>
      <c r="J267" s="2">
        <v>0.88</v>
      </c>
      <c r="K267" s="5">
        <v>2</v>
      </c>
      <c r="L267">
        <v>6</v>
      </c>
    </row>
    <row r="268" spans="1:12" x14ac:dyDescent="0.4">
      <c r="A268" t="s">
        <v>253</v>
      </c>
      <c r="B268" s="1">
        <v>45162</v>
      </c>
      <c r="C268" s="1">
        <v>45168</v>
      </c>
      <c r="D268" t="s">
        <v>17</v>
      </c>
      <c r="E268" t="s">
        <v>13</v>
      </c>
      <c r="F268" s="3">
        <v>-316</v>
      </c>
      <c r="G268" s="4">
        <v>-0.98750000000000004</v>
      </c>
      <c r="H268" s="6">
        <f>H269+Table1[[#This Row],[PnL ($)]]</f>
        <v>3180.9999999999914</v>
      </c>
      <c r="I268" s="2">
        <v>3.2</v>
      </c>
      <c r="J268" s="2">
        <v>6.36</v>
      </c>
      <c r="K268" s="5">
        <v>1</v>
      </c>
      <c r="L268">
        <v>6</v>
      </c>
    </row>
    <row r="269" spans="1:12" x14ac:dyDescent="0.4">
      <c r="A269" t="s">
        <v>254</v>
      </c>
      <c r="B269" s="1">
        <v>45156</v>
      </c>
      <c r="C269" s="1">
        <v>45162</v>
      </c>
      <c r="D269" t="s">
        <v>17</v>
      </c>
      <c r="E269" t="s">
        <v>13</v>
      </c>
      <c r="F269" s="3">
        <v>-212</v>
      </c>
      <c r="G269" s="4">
        <v>-0.80608365019011397</v>
      </c>
      <c r="H269" s="6">
        <f>H270+Table1[[#This Row],[PnL ($)]]</f>
        <v>3496.9999999999914</v>
      </c>
      <c r="I269" s="2">
        <v>2.63</v>
      </c>
      <c r="J269" s="2">
        <v>4.75</v>
      </c>
      <c r="K269" s="5">
        <v>1</v>
      </c>
      <c r="L269">
        <v>6</v>
      </c>
    </row>
    <row r="270" spans="1:12" x14ac:dyDescent="0.4">
      <c r="A270" t="s">
        <v>255</v>
      </c>
      <c r="B270" s="1">
        <v>45154</v>
      </c>
      <c r="C270" s="1">
        <v>45156</v>
      </c>
      <c r="D270" t="s">
        <v>15</v>
      </c>
      <c r="E270" t="s">
        <v>13</v>
      </c>
      <c r="F270" s="3">
        <v>225.99999999999901</v>
      </c>
      <c r="G270" s="4">
        <v>0.74342105263157798</v>
      </c>
      <c r="H270" s="6">
        <f>H271+Table1[[#This Row],[PnL ($)]]</f>
        <v>3708.9999999999914</v>
      </c>
      <c r="I270" s="2">
        <v>3.04</v>
      </c>
      <c r="J270" s="2">
        <v>0.78</v>
      </c>
      <c r="K270" s="5">
        <v>1</v>
      </c>
      <c r="L270">
        <v>2</v>
      </c>
    </row>
    <row r="271" spans="1:12" x14ac:dyDescent="0.4">
      <c r="A271" t="s">
        <v>256</v>
      </c>
      <c r="B271" s="1">
        <v>45146</v>
      </c>
      <c r="C271" s="1">
        <v>45154</v>
      </c>
      <c r="D271" t="s">
        <v>15</v>
      </c>
      <c r="E271" t="s">
        <v>13</v>
      </c>
      <c r="F271" s="3">
        <v>261</v>
      </c>
      <c r="G271" s="4">
        <v>0.94565217391304301</v>
      </c>
      <c r="H271" s="6">
        <f>H272+Table1[[#This Row],[PnL ($)]]</f>
        <v>3482.9999999999923</v>
      </c>
      <c r="I271" s="2">
        <v>2.76</v>
      </c>
      <c r="J271" s="2">
        <v>0.15</v>
      </c>
      <c r="K271" s="5">
        <v>1</v>
      </c>
      <c r="L271">
        <v>8</v>
      </c>
    </row>
    <row r="272" spans="1:12" x14ac:dyDescent="0.4">
      <c r="A272" t="s">
        <v>257</v>
      </c>
      <c r="B272" s="1">
        <v>45140</v>
      </c>
      <c r="C272" s="1">
        <v>45146</v>
      </c>
      <c r="D272" t="s">
        <v>15</v>
      </c>
      <c r="E272" t="s">
        <v>13</v>
      </c>
      <c r="F272" s="3">
        <v>309</v>
      </c>
      <c r="G272" s="4">
        <v>0.86312849162011096</v>
      </c>
      <c r="H272" s="6">
        <f>H273+Table1[[#This Row],[PnL ($)]]</f>
        <v>3221.9999999999923</v>
      </c>
      <c r="I272" s="2">
        <v>3.58</v>
      </c>
      <c r="J272" s="2">
        <v>0.49</v>
      </c>
      <c r="K272" s="5">
        <v>1</v>
      </c>
      <c r="L272">
        <v>6</v>
      </c>
    </row>
    <row r="273" spans="1:12" x14ac:dyDescent="0.4">
      <c r="A273" t="s">
        <v>258</v>
      </c>
      <c r="B273" s="1">
        <v>45135</v>
      </c>
      <c r="C273" s="1">
        <v>45140</v>
      </c>
      <c r="D273" t="s">
        <v>15</v>
      </c>
      <c r="E273" t="s">
        <v>13</v>
      </c>
      <c r="F273" s="3">
        <v>223</v>
      </c>
      <c r="G273" s="4">
        <v>0.86100386100386095</v>
      </c>
      <c r="H273" s="6">
        <f>H274+Table1[[#This Row],[PnL ($)]]</f>
        <v>2912.9999999999923</v>
      </c>
      <c r="I273" s="2">
        <v>2.59</v>
      </c>
      <c r="J273" s="2">
        <v>0.36</v>
      </c>
      <c r="K273" s="5">
        <v>1</v>
      </c>
      <c r="L273">
        <v>5</v>
      </c>
    </row>
    <row r="274" spans="1:12" x14ac:dyDescent="0.4">
      <c r="A274" t="s">
        <v>259</v>
      </c>
      <c r="B274" s="1">
        <v>45134</v>
      </c>
      <c r="C274" s="1">
        <v>45135</v>
      </c>
      <c r="D274" t="s">
        <v>17</v>
      </c>
      <c r="E274" t="s">
        <v>13</v>
      </c>
      <c r="F274" s="3">
        <v>-249</v>
      </c>
      <c r="G274" s="4">
        <v>-0.92222222222222205</v>
      </c>
      <c r="H274" s="6">
        <f>H275+Table1[[#This Row],[PnL ($)]]</f>
        <v>2689.9999999999923</v>
      </c>
      <c r="I274" s="2">
        <v>2.7</v>
      </c>
      <c r="J274" s="2">
        <v>5.19</v>
      </c>
      <c r="K274" s="5">
        <v>1</v>
      </c>
      <c r="L274">
        <v>1</v>
      </c>
    </row>
    <row r="275" spans="1:12" x14ac:dyDescent="0.4">
      <c r="A275" t="s">
        <v>260</v>
      </c>
      <c r="B275" s="1">
        <v>45134</v>
      </c>
      <c r="C275" s="1">
        <v>45134</v>
      </c>
      <c r="D275" t="s">
        <v>15</v>
      </c>
      <c r="E275" t="s">
        <v>13</v>
      </c>
      <c r="F275" s="3">
        <v>114</v>
      </c>
      <c r="G275" s="4">
        <v>0.88372093023255804</v>
      </c>
      <c r="H275" s="6">
        <f>H276+Table1[[#This Row],[PnL ($)]]</f>
        <v>2938.9999999999923</v>
      </c>
      <c r="I275" s="2">
        <v>1.29</v>
      </c>
      <c r="J275" s="2">
        <v>0.15</v>
      </c>
      <c r="K275" s="5">
        <v>1</v>
      </c>
      <c r="L275">
        <v>0</v>
      </c>
    </row>
    <row r="276" spans="1:12" x14ac:dyDescent="0.4">
      <c r="A276" t="s">
        <v>261</v>
      </c>
      <c r="B276" s="1">
        <v>45126</v>
      </c>
      <c r="C276" s="1">
        <v>45134</v>
      </c>
      <c r="D276" t="s">
        <v>15</v>
      </c>
      <c r="E276" t="s">
        <v>13</v>
      </c>
      <c r="F276" s="3">
        <v>125.99999999999901</v>
      </c>
      <c r="G276" s="4">
        <v>0.32984293193717201</v>
      </c>
      <c r="H276" s="6">
        <f>H277+Table1[[#This Row],[PnL ($)]]</f>
        <v>2824.9999999999923</v>
      </c>
      <c r="I276" s="2">
        <v>3.82</v>
      </c>
      <c r="J276" s="2">
        <v>2.56</v>
      </c>
      <c r="K276" s="5">
        <v>1</v>
      </c>
      <c r="L276">
        <v>8</v>
      </c>
    </row>
    <row r="277" spans="1:12" x14ac:dyDescent="0.4">
      <c r="A277" t="s">
        <v>262</v>
      </c>
      <c r="B277" s="1">
        <v>45125</v>
      </c>
      <c r="C277" s="1">
        <v>45126</v>
      </c>
      <c r="D277" t="s">
        <v>17</v>
      </c>
      <c r="E277" t="s">
        <v>13</v>
      </c>
      <c r="F277" s="3">
        <v>-165.99999999999901</v>
      </c>
      <c r="G277" s="4">
        <v>-0.43116883116883098</v>
      </c>
      <c r="H277" s="6">
        <f>H278+Table1[[#This Row],[PnL ($)]]</f>
        <v>2698.9999999999932</v>
      </c>
      <c r="I277" s="2">
        <v>3.85</v>
      </c>
      <c r="J277" s="2">
        <v>5.51</v>
      </c>
      <c r="K277" s="5">
        <v>1</v>
      </c>
      <c r="L277">
        <v>1</v>
      </c>
    </row>
    <row r="278" spans="1:12" x14ac:dyDescent="0.4">
      <c r="A278" t="s">
        <v>263</v>
      </c>
      <c r="B278" s="1">
        <v>45124</v>
      </c>
      <c r="C278" s="1">
        <v>45125</v>
      </c>
      <c r="D278" t="s">
        <v>17</v>
      </c>
      <c r="E278" t="s">
        <v>13</v>
      </c>
      <c r="F278" s="3">
        <v>-112</v>
      </c>
      <c r="G278" s="4">
        <v>-0.277915632754342</v>
      </c>
      <c r="H278" s="6">
        <f>H279+Table1[[#This Row],[PnL ($)]]</f>
        <v>2864.9999999999923</v>
      </c>
      <c r="I278" s="2">
        <v>4.03</v>
      </c>
      <c r="J278" s="2">
        <v>5.15</v>
      </c>
      <c r="K278" s="5">
        <v>1</v>
      </c>
      <c r="L278">
        <v>1</v>
      </c>
    </row>
    <row r="279" spans="1:12" x14ac:dyDescent="0.4">
      <c r="A279" t="s">
        <v>264</v>
      </c>
      <c r="B279" s="1">
        <v>45119</v>
      </c>
      <c r="C279" s="1">
        <v>45124</v>
      </c>
      <c r="D279" t="s">
        <v>17</v>
      </c>
      <c r="E279" t="s">
        <v>13</v>
      </c>
      <c r="F279" s="3">
        <v>-177.99999999999901</v>
      </c>
      <c r="G279" s="4">
        <v>-0.72950819672131095</v>
      </c>
      <c r="H279" s="6">
        <f>H280+Table1[[#This Row],[PnL ($)]]</f>
        <v>2976.9999999999923</v>
      </c>
      <c r="I279" s="2">
        <v>2.44</v>
      </c>
      <c r="J279" s="2">
        <v>4.22</v>
      </c>
      <c r="K279" s="5">
        <v>1</v>
      </c>
      <c r="L279">
        <v>5</v>
      </c>
    </row>
    <row r="280" spans="1:12" x14ac:dyDescent="0.4">
      <c r="A280" t="s">
        <v>265</v>
      </c>
      <c r="B280" s="1">
        <v>45113</v>
      </c>
      <c r="C280" s="1">
        <v>45119</v>
      </c>
      <c r="D280" t="s">
        <v>17</v>
      </c>
      <c r="E280" t="s">
        <v>13</v>
      </c>
      <c r="F280" s="3">
        <v>-417</v>
      </c>
      <c r="G280" s="4">
        <v>-1.62890625</v>
      </c>
      <c r="H280" s="6">
        <f>H281+Table1[[#This Row],[PnL ($)]]</f>
        <v>3154.9999999999914</v>
      </c>
      <c r="I280" s="2">
        <v>2.56</v>
      </c>
      <c r="J280" s="2">
        <v>6.73</v>
      </c>
      <c r="K280" s="5">
        <v>1</v>
      </c>
      <c r="L280">
        <v>6</v>
      </c>
    </row>
    <row r="281" spans="1:12" x14ac:dyDescent="0.4">
      <c r="A281" t="s">
        <v>266</v>
      </c>
      <c r="B281" s="1">
        <v>45112</v>
      </c>
      <c r="C281" s="1">
        <v>45113</v>
      </c>
      <c r="D281" t="s">
        <v>15</v>
      </c>
      <c r="E281" t="s">
        <v>13</v>
      </c>
      <c r="F281" s="3">
        <v>173</v>
      </c>
      <c r="G281" s="4">
        <v>0.67578125</v>
      </c>
      <c r="H281" s="6">
        <f>H282+Table1[[#This Row],[PnL ($)]]</f>
        <v>3571.9999999999914</v>
      </c>
      <c r="I281" s="2">
        <v>2.56</v>
      </c>
      <c r="J281" s="2">
        <v>0.83</v>
      </c>
      <c r="K281" s="5">
        <v>1</v>
      </c>
      <c r="L281">
        <v>1</v>
      </c>
    </row>
    <row r="282" spans="1:12" x14ac:dyDescent="0.4">
      <c r="A282" t="s">
        <v>267</v>
      </c>
      <c r="B282" s="1">
        <v>45104</v>
      </c>
      <c r="C282" s="1">
        <v>45112</v>
      </c>
      <c r="D282" t="s">
        <v>17</v>
      </c>
      <c r="E282" t="s">
        <v>13</v>
      </c>
      <c r="F282" s="3">
        <v>-233</v>
      </c>
      <c r="G282" s="4">
        <v>-2.1376146788990802</v>
      </c>
      <c r="H282" s="6">
        <f>H283+Table1[[#This Row],[PnL ($)]]</f>
        <v>3398.9999999999914</v>
      </c>
      <c r="I282" s="2">
        <v>1.0900000000000001</v>
      </c>
      <c r="J282" s="2">
        <v>3.42</v>
      </c>
      <c r="K282" s="5">
        <v>1</v>
      </c>
      <c r="L282">
        <v>8</v>
      </c>
    </row>
    <row r="283" spans="1:12" x14ac:dyDescent="0.4">
      <c r="A283" t="s">
        <v>268</v>
      </c>
      <c r="B283" s="1">
        <v>45100</v>
      </c>
      <c r="C283" s="1">
        <v>45104</v>
      </c>
      <c r="D283" t="s">
        <v>17</v>
      </c>
      <c r="E283" t="s">
        <v>13</v>
      </c>
      <c r="F283" s="3">
        <v>-33.999999999999901</v>
      </c>
      <c r="G283" s="4">
        <v>-0.17525773195876199</v>
      </c>
      <c r="H283" s="6">
        <f>H284+Table1[[#This Row],[PnL ($)]]</f>
        <v>3631.9999999999914</v>
      </c>
      <c r="I283" s="2">
        <v>1.94</v>
      </c>
      <c r="J283" s="2">
        <v>2.2799999999999998</v>
      </c>
      <c r="K283" s="5">
        <v>1</v>
      </c>
      <c r="L283">
        <v>4</v>
      </c>
    </row>
    <row r="284" spans="1:12" x14ac:dyDescent="0.4">
      <c r="A284" t="s">
        <v>269</v>
      </c>
      <c r="B284" s="1">
        <v>45098</v>
      </c>
      <c r="C284" s="1">
        <v>45100</v>
      </c>
      <c r="D284" t="s">
        <v>15</v>
      </c>
      <c r="E284" t="s">
        <v>13</v>
      </c>
      <c r="F284" s="3">
        <v>106.99999999999901</v>
      </c>
      <c r="G284" s="4">
        <v>0.54040404040404</v>
      </c>
      <c r="H284" s="6">
        <f>H285+Table1[[#This Row],[PnL ($)]]</f>
        <v>3665.9999999999914</v>
      </c>
      <c r="I284" s="2">
        <v>1.98</v>
      </c>
      <c r="J284" s="2">
        <v>0.91</v>
      </c>
      <c r="K284" s="5">
        <v>1</v>
      </c>
      <c r="L284">
        <v>2</v>
      </c>
    </row>
    <row r="285" spans="1:12" x14ac:dyDescent="0.4">
      <c r="A285" t="s">
        <v>270</v>
      </c>
      <c r="B285" s="1">
        <v>45090</v>
      </c>
      <c r="C285" s="1">
        <v>45098</v>
      </c>
      <c r="D285" t="s">
        <v>15</v>
      </c>
      <c r="E285" t="s">
        <v>13</v>
      </c>
      <c r="F285" s="3">
        <v>152</v>
      </c>
      <c r="G285" s="4">
        <v>0.65800865800865804</v>
      </c>
      <c r="H285" s="6">
        <f>H286+Table1[[#This Row],[PnL ($)]]</f>
        <v>3558.9999999999923</v>
      </c>
      <c r="I285" s="2">
        <v>2.31</v>
      </c>
      <c r="J285" s="2">
        <v>0.79</v>
      </c>
      <c r="K285" s="5">
        <v>1</v>
      </c>
      <c r="L285">
        <v>8</v>
      </c>
    </row>
    <row r="286" spans="1:12" x14ac:dyDescent="0.4">
      <c r="A286" t="s">
        <v>272</v>
      </c>
      <c r="B286" s="1">
        <v>45089</v>
      </c>
      <c r="C286" s="1">
        <v>45090</v>
      </c>
      <c r="D286" t="s">
        <v>17</v>
      </c>
      <c r="E286" t="s">
        <v>13</v>
      </c>
      <c r="F286" s="3">
        <v>-337</v>
      </c>
      <c r="G286" s="4">
        <v>-1.3267716535433001</v>
      </c>
      <c r="H286" s="6">
        <f>H287+Table1[[#This Row],[PnL ($)]]</f>
        <v>3406.9999999999923</v>
      </c>
      <c r="I286" s="2">
        <v>2.54</v>
      </c>
      <c r="J286" s="2">
        <v>5.91</v>
      </c>
      <c r="K286" s="5">
        <v>1</v>
      </c>
      <c r="L286">
        <v>1</v>
      </c>
    </row>
    <row r="287" spans="1:12" x14ac:dyDescent="0.4">
      <c r="A287" t="s">
        <v>271</v>
      </c>
      <c r="B287" s="1">
        <v>45068</v>
      </c>
      <c r="C287" s="1">
        <v>45090</v>
      </c>
      <c r="D287" t="s">
        <v>15</v>
      </c>
      <c r="E287" t="s">
        <v>71</v>
      </c>
      <c r="F287" s="3">
        <v>1275</v>
      </c>
      <c r="G287" s="4">
        <v>0.18714222809334999</v>
      </c>
      <c r="H287" s="6">
        <f>H288+Table1[[#This Row],[PnL ($)]]</f>
        <v>3743.9999999999923</v>
      </c>
      <c r="I287" s="2">
        <v>68.13</v>
      </c>
      <c r="J287" s="2">
        <v>80.88</v>
      </c>
      <c r="K287" s="5">
        <v>1</v>
      </c>
      <c r="L287">
        <v>22</v>
      </c>
    </row>
    <row r="288" spans="1:12" x14ac:dyDescent="0.4">
      <c r="A288" t="s">
        <v>273</v>
      </c>
      <c r="B288" s="1">
        <v>45084</v>
      </c>
      <c r="C288" s="1">
        <v>45089</v>
      </c>
      <c r="D288" t="s">
        <v>17</v>
      </c>
      <c r="E288" t="s">
        <v>13</v>
      </c>
      <c r="F288" s="3">
        <v>-261.99999999999898</v>
      </c>
      <c r="G288" s="4">
        <v>-0.94584837545126299</v>
      </c>
      <c r="H288" s="6">
        <f>H289+Table1[[#This Row],[PnL ($)]]</f>
        <v>2468.9999999999923</v>
      </c>
      <c r="I288" s="2">
        <v>2.77</v>
      </c>
      <c r="J288" s="2">
        <v>5.39</v>
      </c>
      <c r="K288" s="5">
        <v>1</v>
      </c>
      <c r="L288">
        <v>5</v>
      </c>
    </row>
    <row r="289" spans="1:12" x14ac:dyDescent="0.4">
      <c r="A289" t="s">
        <v>274</v>
      </c>
      <c r="B289" s="1">
        <v>45082</v>
      </c>
      <c r="C289" s="1">
        <v>45084</v>
      </c>
      <c r="D289" t="s">
        <v>15</v>
      </c>
      <c r="E289" t="s">
        <v>13</v>
      </c>
      <c r="F289" s="3">
        <v>92</v>
      </c>
      <c r="G289" s="4">
        <v>0.48677248677248602</v>
      </c>
      <c r="H289" s="6">
        <f>H290+Table1[[#This Row],[PnL ($)]]</f>
        <v>2730.9999999999914</v>
      </c>
      <c r="I289" s="2">
        <v>1.89</v>
      </c>
      <c r="J289" s="2">
        <v>0.97</v>
      </c>
      <c r="K289" s="5">
        <v>1</v>
      </c>
      <c r="L289">
        <v>2</v>
      </c>
    </row>
    <row r="290" spans="1:12" x14ac:dyDescent="0.4">
      <c r="A290" t="s">
        <v>275</v>
      </c>
      <c r="B290" s="1">
        <v>45072</v>
      </c>
      <c r="C290" s="1">
        <v>45082</v>
      </c>
      <c r="D290" t="s">
        <v>17</v>
      </c>
      <c r="E290" t="s">
        <v>13</v>
      </c>
      <c r="F290" s="3">
        <v>-398.99999999999898</v>
      </c>
      <c r="G290" s="4">
        <v>-0.94999999999999896</v>
      </c>
      <c r="H290" s="6">
        <f>H291+Table1[[#This Row],[PnL ($)]]</f>
        <v>2638.9999999999914</v>
      </c>
      <c r="I290" s="2">
        <v>4.2</v>
      </c>
      <c r="J290" s="2">
        <v>8.19</v>
      </c>
      <c r="K290" s="5">
        <v>1</v>
      </c>
      <c r="L290">
        <v>10</v>
      </c>
    </row>
    <row r="291" spans="1:12" x14ac:dyDescent="0.4">
      <c r="A291" t="s">
        <v>276</v>
      </c>
      <c r="B291" s="1">
        <v>45070</v>
      </c>
      <c r="C291" s="1">
        <v>45072</v>
      </c>
      <c r="D291" t="s">
        <v>17</v>
      </c>
      <c r="E291" t="s">
        <v>13</v>
      </c>
      <c r="F291" s="3">
        <v>-401</v>
      </c>
      <c r="G291" s="4">
        <v>-1.9753694581280701</v>
      </c>
      <c r="H291" s="6">
        <f>H292+Table1[[#This Row],[PnL ($)]]</f>
        <v>3037.9999999999905</v>
      </c>
      <c r="I291" s="2">
        <v>2.0299999999999998</v>
      </c>
      <c r="J291" s="2">
        <v>6.04</v>
      </c>
      <c r="K291" s="5">
        <v>1</v>
      </c>
      <c r="L291">
        <v>2</v>
      </c>
    </row>
    <row r="292" spans="1:12" x14ac:dyDescent="0.4">
      <c r="A292" t="s">
        <v>277</v>
      </c>
      <c r="B292" s="1">
        <v>45069</v>
      </c>
      <c r="C292" s="1">
        <v>45070</v>
      </c>
      <c r="D292" t="s">
        <v>15</v>
      </c>
      <c r="E292" t="s">
        <v>13</v>
      </c>
      <c r="F292" s="3">
        <v>112.99999999999901</v>
      </c>
      <c r="G292" s="4">
        <v>0.67664670658682602</v>
      </c>
      <c r="H292" s="6">
        <f>H293+Table1[[#This Row],[PnL ($)]]</f>
        <v>3438.9999999999905</v>
      </c>
      <c r="I292" s="2">
        <v>1.67</v>
      </c>
      <c r="J292" s="2">
        <v>0.54</v>
      </c>
      <c r="K292" s="5">
        <v>1</v>
      </c>
      <c r="L292">
        <v>1</v>
      </c>
    </row>
    <row r="293" spans="1:12" x14ac:dyDescent="0.4">
      <c r="A293" t="s">
        <v>278</v>
      </c>
      <c r="B293" s="1">
        <v>45068</v>
      </c>
      <c r="C293" s="1">
        <v>45069</v>
      </c>
      <c r="D293" t="s">
        <v>15</v>
      </c>
      <c r="E293" t="s">
        <v>13</v>
      </c>
      <c r="F293" s="3">
        <v>181</v>
      </c>
      <c r="G293" s="4">
        <v>0.79735682819383202</v>
      </c>
      <c r="H293" s="6">
        <f>H294+Table1[[#This Row],[PnL ($)]]</f>
        <v>3325.9999999999914</v>
      </c>
      <c r="I293" s="2">
        <v>2.27</v>
      </c>
      <c r="J293" s="2">
        <v>0.46</v>
      </c>
      <c r="K293" s="5">
        <v>1</v>
      </c>
      <c r="L293">
        <v>1</v>
      </c>
    </row>
    <row r="294" spans="1:12" x14ac:dyDescent="0.4">
      <c r="A294" t="s">
        <v>280</v>
      </c>
      <c r="B294" s="1">
        <v>45063</v>
      </c>
      <c r="C294" s="1">
        <v>45068</v>
      </c>
      <c r="D294" t="s">
        <v>17</v>
      </c>
      <c r="E294" t="s">
        <v>13</v>
      </c>
      <c r="F294" s="3">
        <v>-168</v>
      </c>
      <c r="G294" s="4">
        <v>-0.46666666666666601</v>
      </c>
      <c r="H294" s="6">
        <f>H295+Table1[[#This Row],[PnL ($)]]</f>
        <v>3144.9999999999914</v>
      </c>
      <c r="I294" s="2">
        <v>3.6</v>
      </c>
      <c r="J294" s="2">
        <v>5.28</v>
      </c>
      <c r="K294" s="5">
        <v>1</v>
      </c>
      <c r="L294">
        <v>5</v>
      </c>
    </row>
    <row r="295" spans="1:12" x14ac:dyDescent="0.4">
      <c r="A295" t="s">
        <v>279</v>
      </c>
      <c r="B295" s="1">
        <v>44988</v>
      </c>
      <c r="C295" s="1">
        <v>45068</v>
      </c>
      <c r="D295" t="s">
        <v>15</v>
      </c>
      <c r="E295" t="s">
        <v>71</v>
      </c>
      <c r="F295" s="3">
        <v>776.99999999999898</v>
      </c>
      <c r="G295" s="4">
        <v>0.11004107066987601</v>
      </c>
      <c r="H295" s="6">
        <f>H296+Table1[[#This Row],[PnL ($)]]</f>
        <v>3312.9999999999914</v>
      </c>
      <c r="I295" s="2">
        <v>70.61</v>
      </c>
      <c r="J295" s="2">
        <v>78.38</v>
      </c>
      <c r="K295" s="5">
        <v>1</v>
      </c>
      <c r="L295">
        <v>80</v>
      </c>
    </row>
    <row r="296" spans="1:12" x14ac:dyDescent="0.4">
      <c r="A296" t="s">
        <v>281</v>
      </c>
      <c r="B296" s="1">
        <v>45062</v>
      </c>
      <c r="C296" s="1">
        <v>45063</v>
      </c>
      <c r="D296" t="s">
        <v>17</v>
      </c>
      <c r="E296" t="s">
        <v>13</v>
      </c>
      <c r="F296" s="3">
        <v>-213</v>
      </c>
      <c r="G296" s="4">
        <v>-0.86938775510204003</v>
      </c>
      <c r="H296" s="6">
        <f>H297+Table1[[#This Row],[PnL ($)]]</f>
        <v>2535.9999999999923</v>
      </c>
      <c r="I296" s="2">
        <v>2.4500000000000002</v>
      </c>
      <c r="J296" s="2">
        <v>4.58</v>
      </c>
      <c r="K296" s="5">
        <v>1</v>
      </c>
      <c r="L296">
        <v>1</v>
      </c>
    </row>
    <row r="297" spans="1:12" x14ac:dyDescent="0.4">
      <c r="A297" t="s">
        <v>282</v>
      </c>
      <c r="B297" s="1">
        <v>45058</v>
      </c>
      <c r="C297" s="1">
        <v>45062</v>
      </c>
      <c r="D297" t="s">
        <v>15</v>
      </c>
      <c r="E297" t="s">
        <v>13</v>
      </c>
      <c r="F297" s="3">
        <v>49</v>
      </c>
      <c r="G297" s="4">
        <v>0.33333333333333298</v>
      </c>
      <c r="H297" s="6">
        <f>H298+Table1[[#This Row],[PnL ($)]]</f>
        <v>2748.9999999999923</v>
      </c>
      <c r="I297" s="2">
        <v>1.47</v>
      </c>
      <c r="J297" s="2">
        <v>0.98</v>
      </c>
      <c r="K297" s="5">
        <v>1</v>
      </c>
      <c r="L297">
        <v>4</v>
      </c>
    </row>
    <row r="298" spans="1:12" x14ac:dyDescent="0.4">
      <c r="A298" t="s">
        <v>283</v>
      </c>
      <c r="B298" s="1">
        <v>45056</v>
      </c>
      <c r="C298" s="1">
        <v>45058</v>
      </c>
      <c r="D298" t="s">
        <v>15</v>
      </c>
      <c r="E298" t="s">
        <v>13</v>
      </c>
      <c r="F298" s="3">
        <v>125</v>
      </c>
      <c r="G298" s="4">
        <v>0.69444444444444398</v>
      </c>
      <c r="H298" s="6">
        <f>H299+Table1[[#This Row],[PnL ($)]]</f>
        <v>2699.9999999999923</v>
      </c>
      <c r="I298" s="2">
        <v>1.8</v>
      </c>
      <c r="J298" s="2">
        <v>0.55000000000000004</v>
      </c>
      <c r="K298" s="5">
        <v>1</v>
      </c>
      <c r="L298">
        <v>2</v>
      </c>
    </row>
    <row r="299" spans="1:12" x14ac:dyDescent="0.4">
      <c r="A299" t="s">
        <v>284</v>
      </c>
      <c r="B299" s="1">
        <v>45051</v>
      </c>
      <c r="C299" s="1">
        <v>45056</v>
      </c>
      <c r="D299" t="s">
        <v>15</v>
      </c>
      <c r="E299" t="s">
        <v>13</v>
      </c>
      <c r="F299" s="3">
        <v>159</v>
      </c>
      <c r="G299" s="4">
        <v>0.47747747747747699</v>
      </c>
      <c r="H299" s="6">
        <f>H300+Table1[[#This Row],[PnL ($)]]</f>
        <v>2574.9999999999923</v>
      </c>
      <c r="I299" s="2">
        <v>3.33</v>
      </c>
      <c r="J299" s="2">
        <v>1.74</v>
      </c>
      <c r="K299" s="5">
        <v>1</v>
      </c>
      <c r="L299">
        <v>5</v>
      </c>
    </row>
    <row r="300" spans="1:12" x14ac:dyDescent="0.4">
      <c r="A300" t="s">
        <v>285</v>
      </c>
      <c r="B300" s="1">
        <v>45050</v>
      </c>
      <c r="C300" s="1">
        <v>45051</v>
      </c>
      <c r="D300" t="s">
        <v>17</v>
      </c>
      <c r="E300" t="s">
        <v>13</v>
      </c>
      <c r="F300" s="3">
        <v>-276</v>
      </c>
      <c r="G300" s="4">
        <v>-1.26605504587155</v>
      </c>
      <c r="H300" s="6">
        <f>H301+Table1[[#This Row],[PnL ($)]]</f>
        <v>2415.9999999999923</v>
      </c>
      <c r="I300" s="2">
        <v>2.1800000000000002</v>
      </c>
      <c r="J300" s="2">
        <v>4.9400000000000004</v>
      </c>
      <c r="K300" s="5">
        <v>1</v>
      </c>
      <c r="L300">
        <v>1</v>
      </c>
    </row>
    <row r="301" spans="1:12" x14ac:dyDescent="0.4">
      <c r="A301" t="s">
        <v>286</v>
      </c>
      <c r="B301" s="1">
        <v>45043</v>
      </c>
      <c r="C301" s="1">
        <v>45050</v>
      </c>
      <c r="D301" t="s">
        <v>15</v>
      </c>
      <c r="E301" t="s">
        <v>13</v>
      </c>
      <c r="F301" s="3">
        <v>164</v>
      </c>
      <c r="G301" s="4">
        <v>0.97041420118343102</v>
      </c>
      <c r="H301" s="6">
        <f>H302+Table1[[#This Row],[PnL ($)]]</f>
        <v>2691.9999999999923</v>
      </c>
      <c r="I301" s="2">
        <v>1.69</v>
      </c>
      <c r="J301" s="2">
        <v>0.05</v>
      </c>
      <c r="K301" s="5">
        <v>1</v>
      </c>
      <c r="L301">
        <v>7</v>
      </c>
    </row>
    <row r="302" spans="1:12" x14ac:dyDescent="0.4">
      <c r="A302" t="s">
        <v>287</v>
      </c>
      <c r="B302" s="1">
        <v>45041</v>
      </c>
      <c r="C302" s="1">
        <v>45043</v>
      </c>
      <c r="D302" t="s">
        <v>15</v>
      </c>
      <c r="E302" t="s">
        <v>13</v>
      </c>
      <c r="F302" s="3">
        <v>70</v>
      </c>
      <c r="G302" s="4">
        <v>0.35353535353535298</v>
      </c>
      <c r="H302" s="6">
        <f>H303+Table1[[#This Row],[PnL ($)]]</f>
        <v>2527.9999999999923</v>
      </c>
      <c r="I302" s="2">
        <v>1.98</v>
      </c>
      <c r="J302" s="2">
        <v>1.28</v>
      </c>
      <c r="K302" s="5">
        <v>1</v>
      </c>
      <c r="L302">
        <v>2</v>
      </c>
    </row>
    <row r="303" spans="1:12" x14ac:dyDescent="0.4">
      <c r="A303" t="s">
        <v>288</v>
      </c>
      <c r="B303" s="1">
        <v>45035</v>
      </c>
      <c r="C303" s="1">
        <v>45041</v>
      </c>
      <c r="D303" t="s">
        <v>15</v>
      </c>
      <c r="E303" t="s">
        <v>13</v>
      </c>
      <c r="F303" s="3">
        <v>231.99999999999901</v>
      </c>
      <c r="G303" s="4">
        <v>0.82269503546099199</v>
      </c>
      <c r="H303" s="6">
        <f>H304+Table1[[#This Row],[PnL ($)]]</f>
        <v>2457.9999999999923</v>
      </c>
      <c r="I303" s="2">
        <v>2.82</v>
      </c>
      <c r="J303" s="2">
        <v>0.5</v>
      </c>
      <c r="K303" s="5">
        <v>1</v>
      </c>
      <c r="L303">
        <v>6</v>
      </c>
    </row>
    <row r="304" spans="1:12" x14ac:dyDescent="0.4">
      <c r="A304" t="s">
        <v>289</v>
      </c>
      <c r="B304" s="1">
        <v>45033</v>
      </c>
      <c r="C304" s="1">
        <v>45035</v>
      </c>
      <c r="D304" t="s">
        <v>17</v>
      </c>
      <c r="E304" t="s">
        <v>13</v>
      </c>
      <c r="F304" s="3">
        <v>-18</v>
      </c>
      <c r="G304" s="4">
        <v>-9.4736842105263203E-2</v>
      </c>
      <c r="H304" s="6">
        <f>H305+Table1[[#This Row],[PnL ($)]]</f>
        <v>2225.9999999999932</v>
      </c>
      <c r="I304" s="2">
        <v>1.9</v>
      </c>
      <c r="J304" s="2">
        <v>2.08</v>
      </c>
      <c r="K304" s="5">
        <v>1</v>
      </c>
      <c r="L304">
        <v>2</v>
      </c>
    </row>
    <row r="305" spans="1:12" x14ac:dyDescent="0.4">
      <c r="A305" t="s">
        <v>290</v>
      </c>
      <c r="B305" s="1">
        <v>45028</v>
      </c>
      <c r="C305" s="1">
        <v>45033</v>
      </c>
      <c r="D305" t="s">
        <v>17</v>
      </c>
      <c r="E305" t="s">
        <v>13</v>
      </c>
      <c r="F305" s="3">
        <v>-41.999999999999901</v>
      </c>
      <c r="G305" s="4">
        <v>-0.177215189873417</v>
      </c>
      <c r="H305" s="6">
        <f>H306+Table1[[#This Row],[PnL ($)]]</f>
        <v>2243.9999999999932</v>
      </c>
      <c r="I305" s="2">
        <v>2.37</v>
      </c>
      <c r="J305" s="2">
        <v>2.79</v>
      </c>
      <c r="K305" s="5">
        <v>1</v>
      </c>
      <c r="L305">
        <v>5</v>
      </c>
    </row>
    <row r="306" spans="1:12" x14ac:dyDescent="0.4">
      <c r="A306" t="s">
        <v>291</v>
      </c>
      <c r="B306" s="1">
        <v>45026</v>
      </c>
      <c r="C306" s="1">
        <v>45028</v>
      </c>
      <c r="D306" t="s">
        <v>15</v>
      </c>
      <c r="E306" t="s">
        <v>13</v>
      </c>
      <c r="F306" s="3">
        <v>137</v>
      </c>
      <c r="G306" s="4">
        <v>0.60352422907488901</v>
      </c>
      <c r="H306" s="6">
        <f>H307+Table1[[#This Row],[PnL ($)]]</f>
        <v>2285.9999999999932</v>
      </c>
      <c r="I306" s="2">
        <v>2.27</v>
      </c>
      <c r="J306" s="2">
        <v>0.9</v>
      </c>
      <c r="K306" s="5">
        <v>1</v>
      </c>
      <c r="L306">
        <v>2</v>
      </c>
    </row>
    <row r="307" spans="1:12" x14ac:dyDescent="0.4">
      <c r="A307" t="s">
        <v>292</v>
      </c>
      <c r="B307" s="1">
        <v>45021</v>
      </c>
      <c r="C307" s="1">
        <v>45026</v>
      </c>
      <c r="D307" t="s">
        <v>15</v>
      </c>
      <c r="E307" t="s">
        <v>13</v>
      </c>
      <c r="F307" s="3">
        <v>71</v>
      </c>
      <c r="G307" s="4">
        <v>0.438271604938271</v>
      </c>
      <c r="H307" s="6">
        <f>H308+Table1[[#This Row],[PnL ($)]]</f>
        <v>2148.9999999999932</v>
      </c>
      <c r="I307" s="2">
        <v>1.62</v>
      </c>
      <c r="J307" s="2">
        <v>0.91</v>
      </c>
      <c r="K307" s="5">
        <v>1</v>
      </c>
      <c r="L307">
        <v>5</v>
      </c>
    </row>
    <row r="308" spans="1:12" x14ac:dyDescent="0.4">
      <c r="A308" t="s">
        <v>293</v>
      </c>
      <c r="B308" s="1">
        <v>45019</v>
      </c>
      <c r="C308" s="1">
        <v>45021</v>
      </c>
      <c r="D308" t="s">
        <v>15</v>
      </c>
      <c r="E308" t="s">
        <v>13</v>
      </c>
      <c r="F308" s="3">
        <v>225</v>
      </c>
      <c r="G308" s="4">
        <v>0.69659442724458198</v>
      </c>
      <c r="H308" s="6">
        <f>H309+Table1[[#This Row],[PnL ($)]]</f>
        <v>2077.9999999999932</v>
      </c>
      <c r="I308" s="2">
        <v>3.23</v>
      </c>
      <c r="J308" s="2">
        <v>0.98</v>
      </c>
      <c r="K308" s="5">
        <v>1</v>
      </c>
      <c r="L308">
        <v>2</v>
      </c>
    </row>
    <row r="309" spans="1:12" x14ac:dyDescent="0.4">
      <c r="A309" t="s">
        <v>294</v>
      </c>
      <c r="B309" s="1">
        <v>45016</v>
      </c>
      <c r="C309" s="1">
        <v>45019</v>
      </c>
      <c r="D309" t="s">
        <v>17</v>
      </c>
      <c r="E309" t="s">
        <v>13</v>
      </c>
      <c r="F309" s="3">
        <v>-119</v>
      </c>
      <c r="G309" s="4">
        <v>-0.61979166666666596</v>
      </c>
      <c r="H309" s="6">
        <f>H310+Table1[[#This Row],[PnL ($)]]</f>
        <v>1852.9999999999932</v>
      </c>
      <c r="I309" s="2">
        <v>1.92</v>
      </c>
      <c r="J309" s="2">
        <v>3.11</v>
      </c>
      <c r="K309" s="5">
        <v>1</v>
      </c>
      <c r="L309">
        <v>3</v>
      </c>
    </row>
    <row r="310" spans="1:12" x14ac:dyDescent="0.4">
      <c r="A310" t="s">
        <v>295</v>
      </c>
      <c r="B310" s="1">
        <v>45014</v>
      </c>
      <c r="C310" s="1">
        <v>45016</v>
      </c>
      <c r="D310" t="s">
        <v>17</v>
      </c>
      <c r="E310" t="s">
        <v>13</v>
      </c>
      <c r="F310" s="3">
        <v>-416</v>
      </c>
      <c r="G310" s="4">
        <v>-1.2760736196319</v>
      </c>
      <c r="H310" s="6">
        <f>H311+Table1[[#This Row],[PnL ($)]]</f>
        <v>1971.9999999999932</v>
      </c>
      <c r="I310" s="2">
        <v>3.26</v>
      </c>
      <c r="J310" s="2">
        <v>7.42</v>
      </c>
      <c r="K310" s="5">
        <v>1</v>
      </c>
      <c r="L310">
        <v>2</v>
      </c>
    </row>
    <row r="311" spans="1:12" x14ac:dyDescent="0.4">
      <c r="A311" t="s">
        <v>296</v>
      </c>
      <c r="B311" s="1">
        <v>45008</v>
      </c>
      <c r="C311" s="1">
        <v>45014</v>
      </c>
      <c r="D311" t="s">
        <v>17</v>
      </c>
      <c r="E311" t="s">
        <v>13</v>
      </c>
      <c r="F311" s="3">
        <v>-179.99999999999901</v>
      </c>
      <c r="G311" s="4">
        <v>-0.55384615384615299</v>
      </c>
      <c r="H311" s="6">
        <f>H312+Table1[[#This Row],[PnL ($)]]</f>
        <v>2387.9999999999932</v>
      </c>
      <c r="I311" s="2">
        <v>3.25</v>
      </c>
      <c r="J311" s="2">
        <v>5.05</v>
      </c>
      <c r="K311" s="5">
        <v>1</v>
      </c>
      <c r="L311">
        <v>6</v>
      </c>
    </row>
    <row r="312" spans="1:12" x14ac:dyDescent="0.4">
      <c r="A312" t="s">
        <v>297</v>
      </c>
      <c r="B312" s="1">
        <v>45006</v>
      </c>
      <c r="C312" s="1">
        <v>45008</v>
      </c>
      <c r="D312" t="s">
        <v>15</v>
      </c>
      <c r="E312" t="s">
        <v>13</v>
      </c>
      <c r="F312" s="3">
        <v>412</v>
      </c>
      <c r="G312" s="4">
        <v>0.66558966074313397</v>
      </c>
      <c r="H312" s="6">
        <f>H313+Table1[[#This Row],[PnL ($)]]</f>
        <v>2567.9999999999923</v>
      </c>
      <c r="I312" s="2">
        <v>6.19</v>
      </c>
      <c r="J312" s="2">
        <v>2.0699999999999998</v>
      </c>
      <c r="K312" s="5">
        <v>1</v>
      </c>
      <c r="L312">
        <v>2</v>
      </c>
    </row>
    <row r="313" spans="1:12" x14ac:dyDescent="0.4">
      <c r="A313" t="s">
        <v>298</v>
      </c>
      <c r="B313" s="1">
        <v>45005</v>
      </c>
      <c r="C313" s="1">
        <v>45006</v>
      </c>
      <c r="D313" t="s">
        <v>17</v>
      </c>
      <c r="E313" t="s">
        <v>13</v>
      </c>
      <c r="F313" s="3">
        <v>-176.99999999999901</v>
      </c>
      <c r="G313" s="4">
        <v>-0.32477064220183399</v>
      </c>
      <c r="H313" s="6">
        <f>H314+Table1[[#This Row],[PnL ($)]]</f>
        <v>2155.9999999999923</v>
      </c>
      <c r="I313" s="2">
        <v>5.45</v>
      </c>
      <c r="J313" s="2">
        <v>7.22</v>
      </c>
      <c r="K313" s="5">
        <v>1</v>
      </c>
      <c r="L313">
        <v>1</v>
      </c>
    </row>
    <row r="314" spans="1:12" x14ac:dyDescent="0.4">
      <c r="A314" t="s">
        <v>299</v>
      </c>
      <c r="B314" s="1">
        <v>44998</v>
      </c>
      <c r="C314" s="1">
        <v>45005</v>
      </c>
      <c r="D314" t="s">
        <v>17</v>
      </c>
      <c r="E314" t="s">
        <v>13</v>
      </c>
      <c r="F314" s="3">
        <v>-223</v>
      </c>
      <c r="G314" s="4">
        <v>-0.423149905123339</v>
      </c>
      <c r="H314" s="6">
        <f>H315+Table1[[#This Row],[PnL ($)]]</f>
        <v>2332.9999999999914</v>
      </c>
      <c r="I314" s="2">
        <v>5.27</v>
      </c>
      <c r="J314" s="2">
        <v>7.5</v>
      </c>
      <c r="K314" s="5">
        <v>1</v>
      </c>
      <c r="L314">
        <v>7</v>
      </c>
    </row>
    <row r="315" spans="1:12" x14ac:dyDescent="0.4">
      <c r="A315" t="s">
        <v>300</v>
      </c>
      <c r="B315" s="1">
        <v>44995</v>
      </c>
      <c r="C315" s="1">
        <v>44998</v>
      </c>
      <c r="D315" t="s">
        <v>15</v>
      </c>
      <c r="E315" t="s">
        <v>13</v>
      </c>
      <c r="F315" s="3">
        <v>98.999999999999901</v>
      </c>
      <c r="G315" s="4">
        <v>0.210191082802547</v>
      </c>
      <c r="H315" s="6">
        <f>H316+Table1[[#This Row],[PnL ($)]]</f>
        <v>2555.9999999999914</v>
      </c>
      <c r="I315" s="2">
        <v>4.71</v>
      </c>
      <c r="J315" s="2">
        <v>3.72</v>
      </c>
      <c r="K315" s="5">
        <v>1</v>
      </c>
      <c r="L315">
        <v>3</v>
      </c>
    </row>
    <row r="316" spans="1:12" x14ac:dyDescent="0.4">
      <c r="A316" t="s">
        <v>301</v>
      </c>
      <c r="B316" s="1">
        <v>44994</v>
      </c>
      <c r="C316" s="1">
        <v>44995</v>
      </c>
      <c r="D316" t="s">
        <v>15</v>
      </c>
      <c r="E316" t="s">
        <v>13</v>
      </c>
      <c r="F316" s="3">
        <v>219</v>
      </c>
      <c r="G316" s="4">
        <v>0.50694444444444398</v>
      </c>
      <c r="H316" s="6">
        <f>H317+Table1[[#This Row],[PnL ($)]]</f>
        <v>2456.9999999999914</v>
      </c>
      <c r="I316" s="2">
        <v>4.32</v>
      </c>
      <c r="J316" s="2">
        <v>2.13</v>
      </c>
      <c r="K316" s="5">
        <v>1</v>
      </c>
      <c r="L316">
        <v>1</v>
      </c>
    </row>
    <row r="317" spans="1:12" x14ac:dyDescent="0.4">
      <c r="A317" t="s">
        <v>302</v>
      </c>
      <c r="B317" s="1">
        <v>44993</v>
      </c>
      <c r="C317" s="1">
        <v>44994</v>
      </c>
      <c r="D317" t="s">
        <v>15</v>
      </c>
      <c r="E317" t="s">
        <v>13</v>
      </c>
      <c r="F317" s="3">
        <v>112.99999999999901</v>
      </c>
      <c r="G317" s="4">
        <v>0.29815303430079099</v>
      </c>
      <c r="H317" s="6">
        <f>H318+Table1[[#This Row],[PnL ($)]]</f>
        <v>2237.9999999999914</v>
      </c>
      <c r="I317" s="2">
        <v>3.79</v>
      </c>
      <c r="J317" s="2">
        <v>2.66</v>
      </c>
      <c r="K317" s="5">
        <v>1</v>
      </c>
      <c r="L317">
        <v>1</v>
      </c>
    </row>
    <row r="318" spans="1:12" x14ac:dyDescent="0.4">
      <c r="A318" t="s">
        <v>303</v>
      </c>
      <c r="B318" s="1">
        <v>44991</v>
      </c>
      <c r="C318" s="1">
        <v>44993</v>
      </c>
      <c r="D318" t="s">
        <v>15</v>
      </c>
      <c r="E318" t="s">
        <v>13</v>
      </c>
      <c r="F318" s="3">
        <v>417</v>
      </c>
      <c r="G318" s="4">
        <v>0.72020725388601003</v>
      </c>
      <c r="H318" s="6">
        <f>H319+Table1[[#This Row],[PnL ($)]]</f>
        <v>2124.9999999999923</v>
      </c>
      <c r="I318" s="2">
        <v>5.79</v>
      </c>
      <c r="J318" s="2">
        <v>1.62</v>
      </c>
      <c r="K318" s="5">
        <v>1</v>
      </c>
      <c r="L318">
        <v>2</v>
      </c>
    </row>
    <row r="319" spans="1:12" x14ac:dyDescent="0.4">
      <c r="A319" t="s">
        <v>304</v>
      </c>
      <c r="B319" s="1">
        <v>44988</v>
      </c>
      <c r="C319" s="1">
        <v>44991</v>
      </c>
      <c r="D319" t="s">
        <v>17</v>
      </c>
      <c r="E319" t="s">
        <v>13</v>
      </c>
      <c r="F319" s="3">
        <v>-130.99999999999901</v>
      </c>
      <c r="G319" s="4">
        <v>-0.27178423236514498</v>
      </c>
      <c r="H319" s="6">
        <f>H320+Table1[[#This Row],[PnL ($)]]</f>
        <v>1707.9999999999923</v>
      </c>
      <c r="I319" s="2">
        <v>4.82</v>
      </c>
      <c r="J319" s="2">
        <v>6.13</v>
      </c>
      <c r="K319" s="5">
        <v>1</v>
      </c>
      <c r="L319">
        <v>3</v>
      </c>
    </row>
    <row r="320" spans="1:12" x14ac:dyDescent="0.4">
      <c r="A320" t="s">
        <v>306</v>
      </c>
      <c r="B320" s="1">
        <v>44986</v>
      </c>
      <c r="C320" s="1">
        <v>44988</v>
      </c>
      <c r="D320" t="s">
        <v>17</v>
      </c>
      <c r="E320" t="s">
        <v>13</v>
      </c>
      <c r="F320" s="3">
        <v>-339</v>
      </c>
      <c r="G320" s="4">
        <v>-1.13758389261744</v>
      </c>
      <c r="H320" s="6">
        <f>H321+Table1[[#This Row],[PnL ($)]]</f>
        <v>1838.9999999999914</v>
      </c>
      <c r="I320" s="2">
        <v>2.98</v>
      </c>
      <c r="J320" s="2">
        <v>6.37</v>
      </c>
      <c r="K320" s="5">
        <v>1</v>
      </c>
      <c r="L320">
        <v>2</v>
      </c>
    </row>
    <row r="321" spans="1:12" x14ac:dyDescent="0.4">
      <c r="A321" t="s">
        <v>305</v>
      </c>
      <c r="B321" s="1">
        <v>44873</v>
      </c>
      <c r="C321" s="1">
        <v>44988</v>
      </c>
      <c r="D321" t="s">
        <v>15</v>
      </c>
      <c r="E321" t="s">
        <v>71</v>
      </c>
      <c r="F321" s="3">
        <v>398.99999999999898</v>
      </c>
      <c r="G321" s="4">
        <v>5.7311117494972599E-2</v>
      </c>
      <c r="H321" s="6">
        <f>H322+Table1[[#This Row],[PnL ($)]]</f>
        <v>2177.9999999999914</v>
      </c>
      <c r="I321" s="2">
        <v>69.62</v>
      </c>
      <c r="J321" s="2">
        <v>73.61</v>
      </c>
      <c r="K321" s="5">
        <v>1</v>
      </c>
      <c r="L321">
        <v>115</v>
      </c>
    </row>
    <row r="322" spans="1:12" x14ac:dyDescent="0.4">
      <c r="A322" t="s">
        <v>307</v>
      </c>
      <c r="B322" s="1">
        <v>44980</v>
      </c>
      <c r="C322" s="1">
        <v>44986</v>
      </c>
      <c r="D322" t="s">
        <v>15</v>
      </c>
      <c r="E322" t="s">
        <v>13</v>
      </c>
      <c r="F322" s="3">
        <v>231</v>
      </c>
      <c r="G322" s="4">
        <v>0.72870662460567803</v>
      </c>
      <c r="H322" s="6">
        <f>H323+Table1[[#This Row],[PnL ($)]]</f>
        <v>1778.9999999999923</v>
      </c>
      <c r="I322" s="2">
        <v>3.17</v>
      </c>
      <c r="J322" s="2">
        <v>0.86</v>
      </c>
      <c r="K322" s="5">
        <v>1</v>
      </c>
      <c r="L322">
        <v>6</v>
      </c>
    </row>
    <row r="323" spans="1:12" x14ac:dyDescent="0.4">
      <c r="A323" t="s">
        <v>308</v>
      </c>
      <c r="B323" s="1">
        <v>44978</v>
      </c>
      <c r="C323" s="1">
        <v>44980</v>
      </c>
      <c r="D323" t="s">
        <v>15</v>
      </c>
      <c r="E323" t="s">
        <v>13</v>
      </c>
      <c r="F323" s="3">
        <v>160</v>
      </c>
      <c r="G323" s="4">
        <v>0.92485549132947897</v>
      </c>
      <c r="H323" s="6">
        <f>H324+Table1[[#This Row],[PnL ($)]]</f>
        <v>1547.9999999999923</v>
      </c>
      <c r="I323" s="2">
        <v>1.73</v>
      </c>
      <c r="J323" s="2">
        <v>0.13</v>
      </c>
      <c r="K323" s="5">
        <v>1</v>
      </c>
      <c r="L323">
        <v>2</v>
      </c>
    </row>
    <row r="324" spans="1:12" x14ac:dyDescent="0.4">
      <c r="A324" t="s">
        <v>309</v>
      </c>
      <c r="B324" s="1">
        <v>44973</v>
      </c>
      <c r="C324" s="1">
        <v>44978</v>
      </c>
      <c r="D324" t="s">
        <v>15</v>
      </c>
      <c r="E324" t="s">
        <v>13</v>
      </c>
      <c r="F324" s="3">
        <v>261</v>
      </c>
      <c r="G324" s="4">
        <v>0.94565217391304301</v>
      </c>
      <c r="H324" s="6">
        <f>H325+Table1[[#This Row],[PnL ($)]]</f>
        <v>1387.9999999999923</v>
      </c>
      <c r="I324" s="2">
        <v>2.76</v>
      </c>
      <c r="J324" s="2">
        <v>0.15</v>
      </c>
      <c r="K324" s="5">
        <v>1</v>
      </c>
      <c r="L324">
        <v>5</v>
      </c>
    </row>
    <row r="325" spans="1:12" x14ac:dyDescent="0.4">
      <c r="A325" t="s">
        <v>310</v>
      </c>
      <c r="B325" s="1">
        <v>44971</v>
      </c>
      <c r="C325" s="1">
        <v>44973</v>
      </c>
      <c r="D325" t="s">
        <v>15</v>
      </c>
      <c r="E325" t="s">
        <v>13</v>
      </c>
      <c r="F325" s="3">
        <v>178</v>
      </c>
      <c r="G325" s="4">
        <v>0.89898989898989901</v>
      </c>
      <c r="H325" s="6">
        <f>H326+Table1[[#This Row],[PnL ($)]]</f>
        <v>1126.9999999999923</v>
      </c>
      <c r="I325" s="2">
        <v>1.98</v>
      </c>
      <c r="J325" s="2">
        <v>0.2</v>
      </c>
      <c r="K325" s="5">
        <v>1</v>
      </c>
      <c r="L325">
        <v>2</v>
      </c>
    </row>
    <row r="326" spans="1:12" x14ac:dyDescent="0.4">
      <c r="A326" t="s">
        <v>311</v>
      </c>
      <c r="B326" s="1">
        <v>44966</v>
      </c>
      <c r="C326" s="1">
        <v>44971</v>
      </c>
      <c r="D326" t="s">
        <v>15</v>
      </c>
      <c r="E326" t="s">
        <v>13</v>
      </c>
      <c r="F326" s="3">
        <v>127</v>
      </c>
      <c r="G326" s="4">
        <v>0.35376044568245102</v>
      </c>
      <c r="H326" s="6">
        <f>H327+Table1[[#This Row],[PnL ($)]]</f>
        <v>948.99999999999227</v>
      </c>
      <c r="I326" s="2">
        <v>3.59</v>
      </c>
      <c r="J326" s="2">
        <v>2.3199999999999998</v>
      </c>
      <c r="K326" s="5">
        <v>1</v>
      </c>
      <c r="L326">
        <v>5</v>
      </c>
    </row>
    <row r="327" spans="1:12" x14ac:dyDescent="0.4">
      <c r="A327" t="s">
        <v>312</v>
      </c>
      <c r="B327" s="1">
        <v>44960</v>
      </c>
      <c r="C327" s="1">
        <v>44966</v>
      </c>
      <c r="D327" t="s">
        <v>15</v>
      </c>
      <c r="E327" t="s">
        <v>13</v>
      </c>
      <c r="F327" s="3">
        <v>300</v>
      </c>
      <c r="G327" s="4">
        <v>0.87719298245613997</v>
      </c>
      <c r="H327" s="6">
        <f>H328+Table1[[#This Row],[PnL ($)]]</f>
        <v>821.99999999999227</v>
      </c>
      <c r="I327" s="2">
        <v>3.42</v>
      </c>
      <c r="J327" s="2">
        <v>0.42</v>
      </c>
      <c r="K327" s="5">
        <v>1</v>
      </c>
      <c r="L327">
        <v>6</v>
      </c>
    </row>
    <row r="328" spans="1:12" x14ac:dyDescent="0.4">
      <c r="A328" t="s">
        <v>313</v>
      </c>
      <c r="B328" s="1">
        <v>44958</v>
      </c>
      <c r="C328" s="1">
        <v>44960</v>
      </c>
      <c r="D328" t="s">
        <v>15</v>
      </c>
      <c r="E328" t="s">
        <v>13</v>
      </c>
      <c r="F328" s="3">
        <v>115.99999999999901</v>
      </c>
      <c r="G328" s="4">
        <v>0.597938144329896</v>
      </c>
      <c r="H328" s="6">
        <f>H329+Table1[[#This Row],[PnL ($)]]</f>
        <v>521.99999999999227</v>
      </c>
      <c r="I328" s="2">
        <v>1.94</v>
      </c>
      <c r="J328" s="2">
        <v>0.78</v>
      </c>
      <c r="K328" s="5">
        <v>1</v>
      </c>
      <c r="L328">
        <v>2</v>
      </c>
    </row>
    <row r="329" spans="1:12" x14ac:dyDescent="0.4">
      <c r="A329" t="s">
        <v>314</v>
      </c>
      <c r="B329" s="1">
        <v>44953</v>
      </c>
      <c r="C329" s="1">
        <v>44958</v>
      </c>
      <c r="D329" t="s">
        <v>17</v>
      </c>
      <c r="E329" t="s">
        <v>13</v>
      </c>
      <c r="F329" s="3">
        <v>-259.99999999999898</v>
      </c>
      <c r="G329" s="4">
        <v>-0.69518716577540096</v>
      </c>
      <c r="H329" s="6">
        <f>H330+Table1[[#This Row],[PnL ($)]]</f>
        <v>405.99999999999329</v>
      </c>
      <c r="I329" s="2">
        <v>3.74</v>
      </c>
      <c r="J329" s="2">
        <v>6.34</v>
      </c>
      <c r="K329" s="5">
        <v>1</v>
      </c>
      <c r="L329">
        <v>5</v>
      </c>
    </row>
    <row r="330" spans="1:12" x14ac:dyDescent="0.4">
      <c r="A330" t="s">
        <v>315</v>
      </c>
      <c r="B330" s="1">
        <v>44952</v>
      </c>
      <c r="C330" s="1">
        <v>44953</v>
      </c>
      <c r="D330" t="s">
        <v>17</v>
      </c>
      <c r="E330" t="s">
        <v>13</v>
      </c>
      <c r="F330" s="3">
        <v>-112</v>
      </c>
      <c r="G330" s="4">
        <v>-0.231884057971014</v>
      </c>
      <c r="H330" s="6">
        <f>H331+Table1[[#This Row],[PnL ($)]]</f>
        <v>665.99999999999227</v>
      </c>
      <c r="I330" s="2">
        <v>4.83</v>
      </c>
      <c r="J330" s="2">
        <v>5.95</v>
      </c>
      <c r="K330" s="5">
        <v>1</v>
      </c>
      <c r="L330">
        <v>1</v>
      </c>
    </row>
    <row r="331" spans="1:12" x14ac:dyDescent="0.4">
      <c r="A331" t="s">
        <v>316</v>
      </c>
      <c r="B331" s="1">
        <v>44949</v>
      </c>
      <c r="C331" s="1">
        <v>44952</v>
      </c>
      <c r="D331" t="s">
        <v>17</v>
      </c>
      <c r="E331" t="s">
        <v>13</v>
      </c>
      <c r="F331" s="3">
        <v>-58</v>
      </c>
      <c r="G331" s="4">
        <v>-9.9485420240137207E-2</v>
      </c>
      <c r="H331" s="6">
        <f>H332+Table1[[#This Row],[PnL ($)]]</f>
        <v>777.99999999999227</v>
      </c>
      <c r="I331" s="2">
        <v>5.83</v>
      </c>
      <c r="J331" s="2">
        <v>6.41</v>
      </c>
      <c r="K331" s="5">
        <v>1</v>
      </c>
      <c r="L331">
        <v>3</v>
      </c>
    </row>
    <row r="332" spans="1:12" x14ac:dyDescent="0.4">
      <c r="A332" t="s">
        <v>317</v>
      </c>
      <c r="B332" s="1">
        <v>44945</v>
      </c>
      <c r="C332" s="1">
        <v>44949</v>
      </c>
      <c r="D332" t="s">
        <v>17</v>
      </c>
      <c r="E332" t="s">
        <v>13</v>
      </c>
      <c r="F332" s="3">
        <v>-825</v>
      </c>
      <c r="G332" s="4">
        <v>-4.60893854748603</v>
      </c>
      <c r="H332" s="6">
        <f>H333+Table1[[#This Row],[PnL ($)]]</f>
        <v>835.99999999999227</v>
      </c>
      <c r="I332" s="2">
        <v>1.79</v>
      </c>
      <c r="J332" s="2">
        <v>10.039999999999999</v>
      </c>
      <c r="K332" s="5">
        <v>1</v>
      </c>
      <c r="L332">
        <v>4</v>
      </c>
    </row>
    <row r="333" spans="1:12" x14ac:dyDescent="0.4">
      <c r="A333" t="s">
        <v>318</v>
      </c>
      <c r="B333" s="1">
        <v>44943</v>
      </c>
      <c r="C333" s="1">
        <v>44945</v>
      </c>
      <c r="D333" t="s">
        <v>15</v>
      </c>
      <c r="E333" t="s">
        <v>13</v>
      </c>
      <c r="F333" s="3">
        <v>386</v>
      </c>
      <c r="G333" s="4">
        <v>0.94607843137254899</v>
      </c>
      <c r="H333" s="6">
        <f>H334+Table1[[#This Row],[PnL ($)]]</f>
        <v>1660.9999999999923</v>
      </c>
      <c r="I333" s="2">
        <v>4.08</v>
      </c>
      <c r="J333" s="2">
        <v>0.22</v>
      </c>
      <c r="K333" s="5">
        <v>1</v>
      </c>
      <c r="L333">
        <v>2</v>
      </c>
    </row>
    <row r="334" spans="1:12" x14ac:dyDescent="0.4">
      <c r="A334" t="s">
        <v>319</v>
      </c>
      <c r="B334" s="1">
        <v>44939</v>
      </c>
      <c r="C334" s="1">
        <v>44943</v>
      </c>
      <c r="D334" t="s">
        <v>17</v>
      </c>
      <c r="E334" t="s">
        <v>13</v>
      </c>
      <c r="F334" s="3">
        <v>-89</v>
      </c>
      <c r="G334" s="4">
        <v>-0.390350877192982</v>
      </c>
      <c r="H334" s="6">
        <f>H335+Table1[[#This Row],[PnL ($)]]</f>
        <v>1274.9999999999923</v>
      </c>
      <c r="I334" s="2">
        <v>2.2799999999999998</v>
      </c>
      <c r="J334" s="2">
        <v>3.17</v>
      </c>
      <c r="K334" s="5">
        <v>1</v>
      </c>
      <c r="L334">
        <v>4</v>
      </c>
    </row>
    <row r="335" spans="1:12" x14ac:dyDescent="0.4">
      <c r="A335" t="s">
        <v>320</v>
      </c>
      <c r="B335" s="1">
        <v>44937</v>
      </c>
      <c r="C335" s="1">
        <v>44939</v>
      </c>
      <c r="D335" t="s">
        <v>15</v>
      </c>
      <c r="E335" t="s">
        <v>13</v>
      </c>
      <c r="F335" s="3">
        <v>305</v>
      </c>
      <c r="G335" s="4">
        <v>0.772151898734177</v>
      </c>
      <c r="H335" s="6">
        <f>H336+Table1[[#This Row],[PnL ($)]]</f>
        <v>1363.9999999999923</v>
      </c>
      <c r="I335" s="2">
        <v>3.95</v>
      </c>
      <c r="J335" s="2">
        <v>0.9</v>
      </c>
      <c r="K335" s="5">
        <v>1</v>
      </c>
      <c r="L335">
        <v>2</v>
      </c>
    </row>
    <row r="336" spans="1:12" x14ac:dyDescent="0.4">
      <c r="A336" t="s">
        <v>321</v>
      </c>
      <c r="B336" s="1">
        <v>44932</v>
      </c>
      <c r="C336" s="1">
        <v>44937</v>
      </c>
      <c r="D336" t="s">
        <v>17</v>
      </c>
      <c r="E336" t="s">
        <v>13</v>
      </c>
      <c r="F336" s="3">
        <v>-147</v>
      </c>
      <c r="G336" s="4">
        <v>-0.61250000000000004</v>
      </c>
      <c r="H336" s="6">
        <f>H337+Table1[[#This Row],[PnL ($)]]</f>
        <v>1058.9999999999923</v>
      </c>
      <c r="I336" s="2">
        <v>2.4</v>
      </c>
      <c r="J336" s="2">
        <v>3.87</v>
      </c>
      <c r="K336" s="5">
        <v>1</v>
      </c>
      <c r="L336">
        <v>5</v>
      </c>
    </row>
    <row r="337" spans="1:12" x14ac:dyDescent="0.4">
      <c r="A337" t="s">
        <v>322</v>
      </c>
      <c r="B337" s="1">
        <v>44931</v>
      </c>
      <c r="C337" s="1">
        <v>44932</v>
      </c>
      <c r="D337" t="s">
        <v>17</v>
      </c>
      <c r="E337" t="s">
        <v>13</v>
      </c>
      <c r="F337" s="3">
        <v>-305</v>
      </c>
      <c r="G337" s="4">
        <v>-1.84848484848484</v>
      </c>
      <c r="H337" s="6">
        <f>H338+Table1[[#This Row],[PnL ($)]]</f>
        <v>1205.9999999999923</v>
      </c>
      <c r="I337" s="2">
        <v>1.65</v>
      </c>
      <c r="J337" s="2">
        <v>4.7</v>
      </c>
      <c r="K337" s="5">
        <v>1</v>
      </c>
      <c r="L337">
        <v>1</v>
      </c>
    </row>
    <row r="338" spans="1:12" x14ac:dyDescent="0.4">
      <c r="A338" t="s">
        <v>323</v>
      </c>
      <c r="B338" s="1">
        <v>44930</v>
      </c>
      <c r="C338" s="1">
        <v>44931</v>
      </c>
      <c r="D338" t="s">
        <v>15</v>
      </c>
      <c r="E338" t="s">
        <v>13</v>
      </c>
      <c r="F338" s="3">
        <v>206.99999999999901</v>
      </c>
      <c r="G338" s="4">
        <v>0.70890410958904104</v>
      </c>
      <c r="H338" s="6">
        <f>H339+Table1[[#This Row],[PnL ($)]]</f>
        <v>1510.9999999999923</v>
      </c>
      <c r="I338" s="2">
        <v>2.92</v>
      </c>
      <c r="J338" s="2">
        <v>0.85</v>
      </c>
      <c r="K338" s="5">
        <v>1</v>
      </c>
      <c r="L338">
        <v>1</v>
      </c>
    </row>
    <row r="339" spans="1:12" x14ac:dyDescent="0.4">
      <c r="A339" t="s">
        <v>324</v>
      </c>
      <c r="B339" s="1">
        <v>44925</v>
      </c>
      <c r="C339" s="1">
        <v>44930</v>
      </c>
      <c r="D339" t="s">
        <v>17</v>
      </c>
      <c r="E339" t="s">
        <v>13</v>
      </c>
      <c r="F339" s="3">
        <v>-67</v>
      </c>
      <c r="G339" s="4">
        <v>-0.23843416370106699</v>
      </c>
      <c r="H339" s="6">
        <f>H340+Table1[[#This Row],[PnL ($)]]</f>
        <v>1303.9999999999932</v>
      </c>
      <c r="I339" s="2">
        <v>2.81</v>
      </c>
      <c r="J339" s="2">
        <v>3.48</v>
      </c>
      <c r="K339" s="5">
        <v>1</v>
      </c>
      <c r="L339">
        <v>5</v>
      </c>
    </row>
    <row r="340" spans="1:12" x14ac:dyDescent="0.4">
      <c r="A340" t="s">
        <v>325</v>
      </c>
      <c r="B340" s="1">
        <v>44923</v>
      </c>
      <c r="C340" s="1">
        <v>44925</v>
      </c>
      <c r="D340" t="s">
        <v>15</v>
      </c>
      <c r="E340" t="s">
        <v>13</v>
      </c>
      <c r="F340" s="3">
        <v>29</v>
      </c>
      <c r="G340" s="4">
        <v>0.194630872483221</v>
      </c>
      <c r="H340" s="6">
        <f>H341+Table1[[#This Row],[PnL ($)]]</f>
        <v>1370.9999999999932</v>
      </c>
      <c r="I340" s="2">
        <v>1.49</v>
      </c>
      <c r="J340" s="2">
        <v>1.2</v>
      </c>
      <c r="K340" s="5">
        <v>1</v>
      </c>
      <c r="L340">
        <v>2</v>
      </c>
    </row>
    <row r="341" spans="1:12" x14ac:dyDescent="0.4">
      <c r="A341" t="s">
        <v>326</v>
      </c>
      <c r="B341" s="1">
        <v>44917</v>
      </c>
      <c r="C341" s="1">
        <v>44923</v>
      </c>
      <c r="D341" t="s">
        <v>15</v>
      </c>
      <c r="E341" t="s">
        <v>13</v>
      </c>
      <c r="F341" s="3">
        <v>100</v>
      </c>
      <c r="G341" s="4">
        <v>0.32154340836012801</v>
      </c>
      <c r="H341" s="6">
        <f>H342+Table1[[#This Row],[PnL ($)]]</f>
        <v>1341.9999999999932</v>
      </c>
      <c r="I341" s="2">
        <v>3.11</v>
      </c>
      <c r="J341" s="2">
        <v>2.11</v>
      </c>
      <c r="K341" s="5">
        <v>1</v>
      </c>
      <c r="L341">
        <v>6</v>
      </c>
    </row>
    <row r="342" spans="1:12" x14ac:dyDescent="0.4">
      <c r="A342" t="s">
        <v>327</v>
      </c>
      <c r="B342" s="1">
        <v>44914</v>
      </c>
      <c r="C342" s="1">
        <v>44917</v>
      </c>
      <c r="D342" t="s">
        <v>15</v>
      </c>
      <c r="E342" t="s">
        <v>13</v>
      </c>
      <c r="F342" s="3">
        <v>217.99999999999901</v>
      </c>
      <c r="G342" s="4">
        <v>0.810408921933085</v>
      </c>
      <c r="H342" s="6">
        <f>H343+Table1[[#This Row],[PnL ($)]]</f>
        <v>1241.9999999999932</v>
      </c>
      <c r="I342" s="2">
        <v>2.69</v>
      </c>
      <c r="J342" s="2">
        <v>0.51</v>
      </c>
      <c r="K342" s="5">
        <v>1</v>
      </c>
      <c r="L342">
        <v>3</v>
      </c>
    </row>
    <row r="343" spans="1:12" x14ac:dyDescent="0.4">
      <c r="A343" t="s">
        <v>328</v>
      </c>
      <c r="B343" s="1">
        <v>44911</v>
      </c>
      <c r="C343" s="1">
        <v>44914</v>
      </c>
      <c r="D343" t="s">
        <v>15</v>
      </c>
      <c r="E343" t="s">
        <v>13</v>
      </c>
      <c r="F343" s="3">
        <v>183</v>
      </c>
      <c r="G343" s="4">
        <v>0.83561643835616395</v>
      </c>
      <c r="H343" s="6">
        <f>H344+Table1[[#This Row],[PnL ($)]]</f>
        <v>1023.9999999999941</v>
      </c>
      <c r="I343" s="2">
        <v>2.19</v>
      </c>
      <c r="J343" s="2">
        <v>0.36</v>
      </c>
      <c r="K343" s="5">
        <v>1</v>
      </c>
      <c r="L343">
        <v>3</v>
      </c>
    </row>
    <row r="344" spans="1:12" x14ac:dyDescent="0.4">
      <c r="A344" t="s">
        <v>329</v>
      </c>
      <c r="B344" s="1">
        <v>44910</v>
      </c>
      <c r="C344" s="1">
        <v>44911</v>
      </c>
      <c r="D344" t="s">
        <v>15</v>
      </c>
      <c r="E344" t="s">
        <v>13</v>
      </c>
      <c r="F344" s="3">
        <v>171</v>
      </c>
      <c r="G344" s="4">
        <v>0.79906542056074703</v>
      </c>
      <c r="H344" s="6">
        <f>H345+Table1[[#This Row],[PnL ($)]]</f>
        <v>840.99999999999409</v>
      </c>
      <c r="I344" s="2">
        <v>2.14</v>
      </c>
      <c r="J344" s="2">
        <v>0.43</v>
      </c>
      <c r="K344" s="5">
        <v>1</v>
      </c>
      <c r="L344">
        <v>1</v>
      </c>
    </row>
    <row r="345" spans="1:12" x14ac:dyDescent="0.4">
      <c r="A345" t="s">
        <v>331</v>
      </c>
      <c r="B345" s="1">
        <v>44910</v>
      </c>
      <c r="C345" s="1">
        <v>44910</v>
      </c>
      <c r="D345" t="s">
        <v>15</v>
      </c>
      <c r="E345" t="s">
        <v>13</v>
      </c>
      <c r="F345" s="3">
        <v>106.99999999999901</v>
      </c>
      <c r="G345" s="4">
        <v>0.64457831325301196</v>
      </c>
      <c r="H345" s="6">
        <f>H346+Table1[[#This Row],[PnL ($)]]</f>
        <v>669.99999999999409</v>
      </c>
      <c r="I345" s="2">
        <v>1.66</v>
      </c>
      <c r="J345" s="2">
        <v>0.59</v>
      </c>
      <c r="K345" s="5">
        <v>1</v>
      </c>
      <c r="L345">
        <v>0</v>
      </c>
    </row>
    <row r="346" spans="1:12" x14ac:dyDescent="0.4">
      <c r="A346" t="s">
        <v>330</v>
      </c>
      <c r="B346" s="1">
        <v>44909</v>
      </c>
      <c r="C346" s="1">
        <v>44910</v>
      </c>
      <c r="D346" t="s">
        <v>15</v>
      </c>
      <c r="E346" t="s">
        <v>13</v>
      </c>
      <c r="F346" s="3">
        <v>202.99999999999901</v>
      </c>
      <c r="G346" s="4">
        <v>0.92694063926940595</v>
      </c>
      <c r="H346" s="6">
        <f>H347+Table1[[#This Row],[PnL ($)]]</f>
        <v>562.99999999999511</v>
      </c>
      <c r="I346" s="2">
        <v>2.19</v>
      </c>
      <c r="J346" s="2">
        <v>0.16</v>
      </c>
      <c r="K346" s="5">
        <v>1</v>
      </c>
      <c r="L346">
        <v>1</v>
      </c>
    </row>
    <row r="347" spans="1:12" x14ac:dyDescent="0.4">
      <c r="A347" t="s">
        <v>332</v>
      </c>
      <c r="B347" s="1">
        <v>44903</v>
      </c>
      <c r="C347" s="1">
        <v>44909</v>
      </c>
      <c r="D347" t="s">
        <v>15</v>
      </c>
      <c r="E347" t="s">
        <v>13</v>
      </c>
      <c r="F347" s="3">
        <v>51</v>
      </c>
      <c r="G347" s="4">
        <v>0.14010989010989</v>
      </c>
      <c r="H347" s="6">
        <f>H348+Table1[[#This Row],[PnL ($)]]</f>
        <v>359.99999999999613</v>
      </c>
      <c r="I347" s="2">
        <v>3.64</v>
      </c>
      <c r="J347" s="2">
        <v>3.13</v>
      </c>
      <c r="K347" s="5">
        <v>1</v>
      </c>
      <c r="L347">
        <v>6</v>
      </c>
    </row>
    <row r="348" spans="1:12" x14ac:dyDescent="0.4">
      <c r="A348" t="s">
        <v>333</v>
      </c>
      <c r="B348" s="1">
        <v>44901</v>
      </c>
      <c r="C348" s="1">
        <v>44903</v>
      </c>
      <c r="D348" t="s">
        <v>15</v>
      </c>
      <c r="E348" t="s">
        <v>13</v>
      </c>
      <c r="F348" s="3">
        <v>107</v>
      </c>
      <c r="G348" s="4">
        <v>0.41796875</v>
      </c>
      <c r="H348" s="6">
        <f>H349+Table1[[#This Row],[PnL ($)]]</f>
        <v>308.99999999999613</v>
      </c>
      <c r="I348" s="2">
        <v>2.56</v>
      </c>
      <c r="J348" s="2">
        <v>1.49</v>
      </c>
      <c r="K348" s="5">
        <v>1</v>
      </c>
      <c r="L348">
        <v>2</v>
      </c>
    </row>
    <row r="349" spans="1:12" x14ac:dyDescent="0.4">
      <c r="A349" t="s">
        <v>334</v>
      </c>
      <c r="B349" s="1">
        <v>44900</v>
      </c>
      <c r="C349" s="1">
        <v>44901</v>
      </c>
      <c r="D349" t="s">
        <v>15</v>
      </c>
      <c r="E349" t="s">
        <v>13</v>
      </c>
      <c r="F349" s="3">
        <v>154</v>
      </c>
      <c r="G349" s="4">
        <v>0.80208333333333304</v>
      </c>
      <c r="H349" s="6">
        <f>H350+Table1[[#This Row],[PnL ($)]]</f>
        <v>201.99999999999611</v>
      </c>
      <c r="I349" s="2">
        <v>1.92</v>
      </c>
      <c r="J349" s="2">
        <v>0.38</v>
      </c>
      <c r="K349" s="5">
        <v>1</v>
      </c>
      <c r="L349">
        <v>1</v>
      </c>
    </row>
    <row r="350" spans="1:12" x14ac:dyDescent="0.4">
      <c r="A350" t="s">
        <v>335</v>
      </c>
      <c r="B350" s="1">
        <v>44900</v>
      </c>
      <c r="C350" s="1">
        <v>44900</v>
      </c>
      <c r="D350" t="s">
        <v>17</v>
      </c>
      <c r="E350" t="s">
        <v>13</v>
      </c>
      <c r="F350" s="3">
        <v>-3.99999999999998</v>
      </c>
      <c r="G350" s="4">
        <v>-3.5714285714285497E-2</v>
      </c>
      <c r="H350" s="6">
        <f>H351+Table1[[#This Row],[PnL ($)]]</f>
        <v>47.999999999996099</v>
      </c>
      <c r="I350" s="2">
        <v>1.1200000000000001</v>
      </c>
      <c r="J350" s="2">
        <v>1.1599999999999999</v>
      </c>
      <c r="K350" s="5">
        <v>1</v>
      </c>
      <c r="L350">
        <v>0</v>
      </c>
    </row>
    <row r="351" spans="1:12" x14ac:dyDescent="0.4">
      <c r="A351" t="s">
        <v>336</v>
      </c>
      <c r="B351" s="1">
        <v>44897</v>
      </c>
      <c r="C351" s="1">
        <v>44900</v>
      </c>
      <c r="D351" t="s">
        <v>15</v>
      </c>
      <c r="E351" t="s">
        <v>13</v>
      </c>
      <c r="F351" s="3">
        <v>78</v>
      </c>
      <c r="G351" s="4">
        <v>0.64462809917355302</v>
      </c>
      <c r="H351" s="6">
        <f>H352+Table1[[#This Row],[PnL ($)]]</f>
        <v>51.999999999996078</v>
      </c>
      <c r="I351" s="2">
        <v>1.21</v>
      </c>
      <c r="J351" s="2">
        <v>0.43</v>
      </c>
      <c r="K351" s="5">
        <v>1</v>
      </c>
      <c r="L351">
        <v>3</v>
      </c>
    </row>
    <row r="352" spans="1:12" x14ac:dyDescent="0.4">
      <c r="A352" t="s">
        <v>337</v>
      </c>
      <c r="B352" s="1">
        <v>44895</v>
      </c>
      <c r="C352" s="1">
        <v>44897</v>
      </c>
      <c r="D352" t="s">
        <v>15</v>
      </c>
      <c r="E352" t="s">
        <v>13</v>
      </c>
      <c r="F352" s="3">
        <v>146</v>
      </c>
      <c r="G352" s="4">
        <v>0.67906976744185998</v>
      </c>
      <c r="H352" s="6">
        <f>H353+Table1[[#This Row],[PnL ($)]]</f>
        <v>-26.000000000003922</v>
      </c>
      <c r="I352" s="2">
        <v>2.15</v>
      </c>
      <c r="J352" s="2">
        <v>0.69</v>
      </c>
      <c r="K352" s="5">
        <v>1</v>
      </c>
      <c r="L352">
        <v>2</v>
      </c>
    </row>
    <row r="353" spans="1:12" x14ac:dyDescent="0.4">
      <c r="A353" t="s">
        <v>338</v>
      </c>
      <c r="B353" s="1">
        <v>44893</v>
      </c>
      <c r="C353" s="1">
        <v>44895</v>
      </c>
      <c r="D353" t="s">
        <v>17</v>
      </c>
      <c r="E353" t="s">
        <v>13</v>
      </c>
      <c r="F353" s="3">
        <v>-155</v>
      </c>
      <c r="G353" s="4">
        <v>-0.63524590163934402</v>
      </c>
      <c r="H353" s="6">
        <f>H354+Table1[[#This Row],[PnL ($)]]</f>
        <v>-172.00000000000392</v>
      </c>
      <c r="I353" s="2">
        <v>2.44</v>
      </c>
      <c r="J353" s="2">
        <v>3.99</v>
      </c>
      <c r="K353" s="5">
        <v>1</v>
      </c>
      <c r="L353">
        <v>2</v>
      </c>
    </row>
    <row r="354" spans="1:12" x14ac:dyDescent="0.4">
      <c r="A354" t="s">
        <v>339</v>
      </c>
      <c r="B354" s="1">
        <v>44887</v>
      </c>
      <c r="C354" s="1">
        <v>44893</v>
      </c>
      <c r="D354" t="s">
        <v>15</v>
      </c>
      <c r="E354" t="s">
        <v>13</v>
      </c>
      <c r="F354" s="3">
        <v>175.99999999999901</v>
      </c>
      <c r="G354" s="4">
        <v>0.85024154589371903</v>
      </c>
      <c r="H354" s="6">
        <f>H355+Table1[[#This Row],[PnL ($)]]</f>
        <v>-17.000000000003922</v>
      </c>
      <c r="I354" s="2">
        <v>2.0699999999999998</v>
      </c>
      <c r="J354" s="2">
        <v>0.31</v>
      </c>
      <c r="K354" s="5">
        <v>1</v>
      </c>
      <c r="L354">
        <v>6</v>
      </c>
    </row>
    <row r="355" spans="1:12" x14ac:dyDescent="0.4">
      <c r="A355" t="s">
        <v>340</v>
      </c>
      <c r="B355" s="1">
        <v>44886</v>
      </c>
      <c r="C355" s="1">
        <v>44887</v>
      </c>
      <c r="D355" t="s">
        <v>17</v>
      </c>
      <c r="E355" t="s">
        <v>13</v>
      </c>
      <c r="F355" s="3">
        <v>-150</v>
      </c>
      <c r="G355" s="4">
        <v>-0.92024539877300604</v>
      </c>
      <c r="H355" s="6">
        <f>H356+Table1[[#This Row],[PnL ($)]]</f>
        <v>-193.00000000000293</v>
      </c>
      <c r="I355" s="2">
        <v>1.63</v>
      </c>
      <c r="J355" s="2">
        <v>3.13</v>
      </c>
      <c r="K355" s="5">
        <v>1</v>
      </c>
      <c r="L355">
        <v>1</v>
      </c>
    </row>
    <row r="356" spans="1:12" x14ac:dyDescent="0.4">
      <c r="A356" t="s">
        <v>341</v>
      </c>
      <c r="B356" s="1">
        <v>44883</v>
      </c>
      <c r="C356" s="1">
        <v>44886</v>
      </c>
      <c r="D356" t="s">
        <v>15</v>
      </c>
      <c r="E356" t="s">
        <v>13</v>
      </c>
      <c r="F356" s="3">
        <v>115.99999999999901</v>
      </c>
      <c r="G356" s="4">
        <v>0.81690140845070403</v>
      </c>
      <c r="H356" s="6">
        <f>H357+Table1[[#This Row],[PnL ($)]]</f>
        <v>-43.000000000002927</v>
      </c>
      <c r="I356" s="2">
        <v>1.42</v>
      </c>
      <c r="J356" s="2">
        <v>0.26</v>
      </c>
      <c r="K356" s="5">
        <v>1</v>
      </c>
      <c r="L356">
        <v>3</v>
      </c>
    </row>
    <row r="357" spans="1:12" x14ac:dyDescent="0.4">
      <c r="A357" t="s">
        <v>342</v>
      </c>
      <c r="B357" s="1">
        <v>44882</v>
      </c>
      <c r="C357" s="1">
        <v>44883</v>
      </c>
      <c r="D357" t="s">
        <v>15</v>
      </c>
      <c r="E357" t="s">
        <v>13</v>
      </c>
      <c r="F357" s="3">
        <v>120</v>
      </c>
      <c r="G357" s="4">
        <v>0.80536912751677803</v>
      </c>
      <c r="H357" s="6">
        <f>H358+Table1[[#This Row],[PnL ($)]]</f>
        <v>-159.00000000000193</v>
      </c>
      <c r="I357" s="2">
        <v>1.49</v>
      </c>
      <c r="J357" s="2">
        <v>0.28999999999999998</v>
      </c>
      <c r="K357" s="5">
        <v>1</v>
      </c>
      <c r="L357">
        <v>1</v>
      </c>
    </row>
    <row r="358" spans="1:12" x14ac:dyDescent="0.4">
      <c r="A358" t="s">
        <v>343</v>
      </c>
      <c r="B358" s="1">
        <v>44881</v>
      </c>
      <c r="C358" s="1">
        <v>44882</v>
      </c>
      <c r="D358" t="s">
        <v>15</v>
      </c>
      <c r="E358" t="s">
        <v>13</v>
      </c>
      <c r="F358" s="3">
        <v>151</v>
      </c>
      <c r="G358" s="4">
        <v>0.94374999999999998</v>
      </c>
      <c r="H358" s="6">
        <f>H359+Table1[[#This Row],[PnL ($)]]</f>
        <v>-279.00000000000193</v>
      </c>
      <c r="I358" s="2">
        <v>1.6</v>
      </c>
      <c r="J358" s="2">
        <v>0.09</v>
      </c>
      <c r="K358" s="5">
        <v>1</v>
      </c>
      <c r="L358">
        <v>1</v>
      </c>
    </row>
    <row r="359" spans="1:12" x14ac:dyDescent="0.4">
      <c r="A359" t="s">
        <v>344</v>
      </c>
      <c r="B359" s="1">
        <v>44879</v>
      </c>
      <c r="C359" s="1">
        <v>44881</v>
      </c>
      <c r="D359" t="s">
        <v>15</v>
      </c>
      <c r="E359" t="s">
        <v>13</v>
      </c>
      <c r="F359" s="3">
        <v>102.99999999999901</v>
      </c>
      <c r="G359" s="4">
        <v>0.33550488599348499</v>
      </c>
      <c r="H359" s="6">
        <f>H360+Table1[[#This Row],[PnL ($)]]</f>
        <v>-430.00000000000193</v>
      </c>
      <c r="I359" s="2">
        <v>3.07</v>
      </c>
      <c r="J359" s="2">
        <v>2.04</v>
      </c>
      <c r="K359" s="5">
        <v>1</v>
      </c>
      <c r="L359">
        <v>2</v>
      </c>
    </row>
    <row r="360" spans="1:12" x14ac:dyDescent="0.4">
      <c r="A360" t="s">
        <v>345</v>
      </c>
      <c r="B360" s="1">
        <v>44876</v>
      </c>
      <c r="C360" s="1">
        <v>44879</v>
      </c>
      <c r="D360" t="s">
        <v>15</v>
      </c>
      <c r="E360" t="s">
        <v>13</v>
      </c>
      <c r="F360" s="3">
        <v>152.99999999999901</v>
      </c>
      <c r="G360" s="4">
        <v>0.76119402985074602</v>
      </c>
      <c r="H360" s="6">
        <f>H361+Table1[[#This Row],[PnL ($)]]</f>
        <v>-533.00000000000091</v>
      </c>
      <c r="I360" s="2">
        <v>2.0099999999999998</v>
      </c>
      <c r="J360" s="2">
        <v>0.48</v>
      </c>
      <c r="K360" s="5">
        <v>1</v>
      </c>
      <c r="L360">
        <v>3</v>
      </c>
    </row>
    <row r="361" spans="1:12" x14ac:dyDescent="0.4">
      <c r="A361" t="s">
        <v>347</v>
      </c>
      <c r="B361" s="1">
        <v>44876</v>
      </c>
      <c r="C361" s="1">
        <v>44876</v>
      </c>
      <c r="D361" t="s">
        <v>17</v>
      </c>
      <c r="E361" t="s">
        <v>13</v>
      </c>
      <c r="F361" s="3">
        <v>-79.999999999999901</v>
      </c>
      <c r="G361" s="4">
        <v>-0.26845637583892601</v>
      </c>
      <c r="H361" s="6">
        <f>H362+Table1[[#This Row],[PnL ($)]]</f>
        <v>-685.99999999999989</v>
      </c>
      <c r="I361" s="2">
        <v>2.98</v>
      </c>
      <c r="J361" s="2">
        <v>3.78</v>
      </c>
      <c r="K361" s="5">
        <v>1</v>
      </c>
      <c r="L361">
        <v>0</v>
      </c>
    </row>
    <row r="362" spans="1:12" x14ac:dyDescent="0.4">
      <c r="A362" t="s">
        <v>346</v>
      </c>
      <c r="B362" s="1">
        <v>44874</v>
      </c>
      <c r="C362" s="1">
        <v>44876</v>
      </c>
      <c r="D362" t="s">
        <v>17</v>
      </c>
      <c r="E362" t="s">
        <v>13</v>
      </c>
      <c r="F362" s="3">
        <v>-1428</v>
      </c>
      <c r="G362" s="4">
        <v>-5.578125</v>
      </c>
      <c r="H362" s="6">
        <f>H363+Table1[[#This Row],[PnL ($)]]</f>
        <v>-606</v>
      </c>
      <c r="I362" s="2">
        <v>2.56</v>
      </c>
      <c r="J362" s="2">
        <v>16.84</v>
      </c>
      <c r="K362" s="5">
        <v>1</v>
      </c>
      <c r="L362">
        <v>2</v>
      </c>
    </row>
    <row r="363" spans="1:12" x14ac:dyDescent="0.4">
      <c r="A363" t="s">
        <v>348</v>
      </c>
      <c r="B363" s="1">
        <v>44873</v>
      </c>
      <c r="C363" s="1">
        <v>44874</v>
      </c>
      <c r="D363" t="s">
        <v>15</v>
      </c>
      <c r="E363" t="s">
        <v>13</v>
      </c>
      <c r="F363" s="3">
        <v>228</v>
      </c>
      <c r="G363" s="4">
        <v>0.87692307692307703</v>
      </c>
      <c r="H363" s="6">
        <f>H364+Table1[[#This Row],[PnL ($)]]</f>
        <v>822</v>
      </c>
      <c r="I363" s="2">
        <v>2.6</v>
      </c>
      <c r="J363" s="2">
        <v>0.32</v>
      </c>
      <c r="K363" s="5">
        <v>1</v>
      </c>
      <c r="L363">
        <v>1</v>
      </c>
    </row>
    <row r="364" spans="1:12" x14ac:dyDescent="0.4">
      <c r="A364" t="s">
        <v>349</v>
      </c>
      <c r="B364" s="1">
        <v>44872</v>
      </c>
      <c r="C364" s="1">
        <v>44873</v>
      </c>
      <c r="D364" t="s">
        <v>17</v>
      </c>
      <c r="E364" t="s">
        <v>13</v>
      </c>
      <c r="F364" s="3">
        <v>-182</v>
      </c>
      <c r="G364" s="4">
        <v>-0.459595959595959</v>
      </c>
      <c r="H364" s="6">
        <f>H365+Table1[[#This Row],[PnL ($)]]</f>
        <v>594</v>
      </c>
      <c r="I364" s="2">
        <v>3.96</v>
      </c>
      <c r="J364" s="2">
        <v>5.78</v>
      </c>
      <c r="K364" s="5">
        <v>1</v>
      </c>
      <c r="L364">
        <v>1</v>
      </c>
    </row>
    <row r="365" spans="1:12" x14ac:dyDescent="0.4">
      <c r="A365" t="s">
        <v>350</v>
      </c>
      <c r="B365" s="1">
        <v>44852</v>
      </c>
      <c r="C365" s="1">
        <v>44873</v>
      </c>
      <c r="D365" t="s">
        <v>15</v>
      </c>
      <c r="E365" t="s">
        <v>71</v>
      </c>
      <c r="F365" s="3">
        <v>776</v>
      </c>
      <c r="G365" s="4">
        <v>0.116063416093329</v>
      </c>
      <c r="H365" s="6">
        <f>H366+Table1[[#This Row],[PnL ($)]]</f>
        <v>776</v>
      </c>
      <c r="I365" s="2">
        <v>66.86</v>
      </c>
      <c r="J365" s="2">
        <v>74.62</v>
      </c>
      <c r="K365" s="5">
        <v>1</v>
      </c>
      <c r="L365">
        <v>21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1C0C9-53D1-4648-993F-D24BECBD92DC}">
  <dimension ref="A1:B14"/>
  <sheetViews>
    <sheetView tabSelected="1" workbookViewId="0">
      <selection activeCell="A4" sqref="A4"/>
    </sheetView>
  </sheetViews>
  <sheetFormatPr defaultRowHeight="14.6" x14ac:dyDescent="0.4"/>
  <cols>
    <col min="1" max="1" width="12.4609375" bestFit="1" customWidth="1"/>
    <col min="2" max="2" width="12.69140625" bestFit="1" customWidth="1"/>
    <col min="3" max="3" width="9.23046875" bestFit="1" customWidth="1"/>
    <col min="4" max="12" width="10.23046875" bestFit="1" customWidth="1"/>
    <col min="13" max="16" width="9.23046875" bestFit="1" customWidth="1"/>
    <col min="17" max="23" width="10.23046875" bestFit="1" customWidth="1"/>
    <col min="24" max="26" width="8.23046875" bestFit="1" customWidth="1"/>
    <col min="30" max="33" width="9.23046875" bestFit="1" customWidth="1"/>
    <col min="34" max="36" width="8.23046875" bestFit="1" customWidth="1"/>
    <col min="41" max="45" width="8.23046875" bestFit="1" customWidth="1"/>
    <col min="46" max="47" width="9.23046875" bestFit="1" customWidth="1"/>
    <col min="53" max="54" width="8.23046875" bestFit="1" customWidth="1"/>
    <col min="55" max="60" width="9.23046875" bestFit="1" customWidth="1"/>
    <col min="61" max="62" width="8.23046875" bestFit="1" customWidth="1"/>
    <col min="71" max="72" width="8.23046875" bestFit="1" customWidth="1"/>
    <col min="73" max="73" width="9.23046875" bestFit="1" customWidth="1"/>
    <col min="78" max="79" width="8.23046875" bestFit="1" customWidth="1"/>
    <col min="80" max="85" width="9.23046875" bestFit="1" customWidth="1"/>
    <col min="86" max="87" width="8.23046875" bestFit="1" customWidth="1"/>
    <col min="92" max="93" width="8.23046875" bestFit="1" customWidth="1"/>
    <col min="98" max="99" width="9.23046875" bestFit="1" customWidth="1"/>
    <col min="107" max="118" width="10.23046875" bestFit="1" customWidth="1"/>
    <col min="123" max="129" width="10.23046875" bestFit="1" customWidth="1"/>
    <col min="130" max="130" width="9.23046875" bestFit="1" customWidth="1"/>
    <col min="131" max="132" width="10.23046875" bestFit="1" customWidth="1"/>
    <col min="133" max="136" width="8.23046875" bestFit="1" customWidth="1"/>
    <col min="137" max="140" width="9.23046875" bestFit="1" customWidth="1"/>
    <col min="144" max="147" width="8.23046875" bestFit="1" customWidth="1"/>
    <col min="153" max="154" width="9.23046875" bestFit="1" customWidth="1"/>
    <col min="157" max="162" width="8.23046875" bestFit="1" customWidth="1"/>
    <col min="163" max="164" width="9.23046875" bestFit="1" customWidth="1"/>
    <col min="174" max="179" width="8.23046875" bestFit="1" customWidth="1"/>
    <col min="180" max="180" width="9.23046875" bestFit="1" customWidth="1"/>
    <col min="185" max="190" width="9.23046875" bestFit="1" customWidth="1"/>
    <col min="192" max="198" width="8.23046875" bestFit="1" customWidth="1"/>
    <col min="199" max="199" width="10.84375" bestFit="1" customWidth="1"/>
    <col min="200" max="201" width="9.23046875" bestFit="1" customWidth="1"/>
    <col min="211" max="212" width="9.23046875" bestFit="1" customWidth="1"/>
    <col min="213" max="217" width="8.23046875" bestFit="1" customWidth="1"/>
    <col min="222" max="229" width="9.23046875" bestFit="1" customWidth="1"/>
    <col min="230" max="233" width="8.23046875" bestFit="1" customWidth="1"/>
    <col min="236" max="244" width="9.23046875" bestFit="1" customWidth="1"/>
    <col min="248" max="253" width="8.23046875" bestFit="1" customWidth="1"/>
    <col min="254" max="255" width="9.23046875" bestFit="1" customWidth="1"/>
    <col min="260" max="262" width="9.23046875" bestFit="1" customWidth="1"/>
    <col min="263" max="266" width="8.23046875" bestFit="1" customWidth="1"/>
    <col min="268" max="269" width="9.23046875" bestFit="1" customWidth="1"/>
    <col min="270" max="270" width="10.4609375" bestFit="1" customWidth="1"/>
  </cols>
  <sheetData>
    <row r="1" spans="1:2" x14ac:dyDescent="0.4">
      <c r="A1" s="7" t="s">
        <v>353</v>
      </c>
      <c r="B1" t="s">
        <v>358</v>
      </c>
    </row>
    <row r="2" spans="1:2" x14ac:dyDescent="0.4">
      <c r="A2" s="8" t="s">
        <v>355</v>
      </c>
      <c r="B2" s="11">
        <v>1370.9999999999932</v>
      </c>
    </row>
    <row r="3" spans="1:2" x14ac:dyDescent="0.4">
      <c r="A3" s="8" t="s">
        <v>356</v>
      </c>
      <c r="B3" s="11">
        <v>7968.9999999999918</v>
      </c>
    </row>
    <row r="4" spans="1:2" x14ac:dyDescent="0.4">
      <c r="A4" s="8" t="s">
        <v>357</v>
      </c>
      <c r="B4" s="11"/>
    </row>
    <row r="5" spans="1:2" x14ac:dyDescent="0.4">
      <c r="A5" s="12" t="s">
        <v>360</v>
      </c>
      <c r="B5" s="11">
        <v>350.99999999999204</v>
      </c>
    </row>
    <row r="6" spans="1:2" x14ac:dyDescent="0.4">
      <c r="A6" s="12" t="s">
        <v>361</v>
      </c>
      <c r="B6" s="11">
        <v>5636.99999999999</v>
      </c>
    </row>
    <row r="7" spans="1:2" x14ac:dyDescent="0.4">
      <c r="A7" s="12" t="s">
        <v>362</v>
      </c>
      <c r="B7" s="11">
        <v>5060.9999999999991</v>
      </c>
    </row>
    <row r="8" spans="1:2" x14ac:dyDescent="0.4">
      <c r="A8" s="12" t="s">
        <v>363</v>
      </c>
      <c r="B8" s="11">
        <v>3968.9999999999914</v>
      </c>
    </row>
    <row r="9" spans="1:2" x14ac:dyDescent="0.4">
      <c r="A9" s="12" t="s">
        <v>364</v>
      </c>
      <c r="B9" s="11">
        <v>-1091.9999999999986</v>
      </c>
    </row>
    <row r="10" spans="1:2" x14ac:dyDescent="0.4">
      <c r="A10" s="12" t="s">
        <v>365</v>
      </c>
      <c r="B10" s="11">
        <v>-3280.9999999999941</v>
      </c>
    </row>
    <row r="11" spans="1:2" x14ac:dyDescent="0.4">
      <c r="A11" s="12" t="s">
        <v>366</v>
      </c>
      <c r="B11" s="11">
        <v>6444.0000000000118</v>
      </c>
    </row>
    <row r="12" spans="1:2" x14ac:dyDescent="0.4">
      <c r="A12" s="12" t="s">
        <v>367</v>
      </c>
      <c r="B12" s="11">
        <v>1798.0000000000027</v>
      </c>
    </row>
    <row r="13" spans="1:2" x14ac:dyDescent="0.4">
      <c r="A13" s="12" t="s">
        <v>368</v>
      </c>
      <c r="B13" s="11">
        <v>315.00000000000887</v>
      </c>
    </row>
    <row r="14" spans="1:2" x14ac:dyDescent="0.4">
      <c r="A14" s="8" t="s">
        <v>354</v>
      </c>
      <c r="B14" s="11">
        <v>28541.999999999996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portfolio_trades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Bagchi</dc:creator>
  <cp:lastModifiedBy>Jay Bagchi</cp:lastModifiedBy>
  <dcterms:created xsi:type="dcterms:W3CDTF">2024-09-19T00:38:57Z</dcterms:created>
  <dcterms:modified xsi:type="dcterms:W3CDTF">2024-09-20T07:35:39Z</dcterms:modified>
</cp:coreProperties>
</file>